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995960D5-895E-404E-9F30-FDFEBC0AEE81}" xr6:coauthVersionLast="47" xr6:coauthVersionMax="47" xr10:uidLastSave="{00000000-0000-0000-0000-000000000000}"/>
  <bookViews>
    <workbookView xWindow="-120" yWindow="-120" windowWidth="20730" windowHeight="11160" tabRatio="820" firstSheet="2" activeTab="3" xr2:uid="{FEC3941A-93DA-4AA6-A9CC-883005B47F7D}"/>
  </bookViews>
  <sheets>
    <sheet name="total subs analysis " sheetId="7" r:id="rId1"/>
    <sheet name="total vids analysis " sheetId="10" r:id="rId2"/>
    <sheet name="total views analysis " sheetId="11" r:id="rId3"/>
    <sheet name="avg views per video analysis" sheetId="12" r:id="rId4"/>
    <sheet name="avg views per sub analysis" sheetId="14" r:id="rId5"/>
    <sheet name="avg subs per video analysis" sheetId="13" r:id="rId6"/>
    <sheet name="sumarry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4" l="1" a="1"/>
  <c r="C9" i="14" s="1"/>
  <c r="B9" i="14"/>
  <c r="K21" i="14" a="1"/>
  <c r="K21" i="14" s="1"/>
  <c r="I11" i="14" a="1"/>
  <c r="I11" i="14" s="1"/>
  <c r="G11" i="14" a="1"/>
  <c r="G11" i="14" s="1"/>
  <c r="E11" i="14" a="1"/>
  <c r="E11" i="14" s="1"/>
  <c r="I10" i="14" a="1"/>
  <c r="I10" i="14" s="1"/>
  <c r="G10" i="14" a="1"/>
  <c r="G10" i="14" s="1"/>
  <c r="E10" i="14" a="1"/>
  <c r="E10" i="14" s="1"/>
  <c r="I9" i="14" a="1"/>
  <c r="I9" i="14" s="1"/>
  <c r="G9" i="14" a="1"/>
  <c r="G9" i="14" s="1"/>
  <c r="E9" i="14" a="1"/>
  <c r="E9" i="14" s="1"/>
  <c r="G2" i="14"/>
  <c r="B11" i="14" s="1"/>
  <c r="B10" i="13"/>
  <c r="B11" i="13"/>
  <c r="B9" i="13"/>
  <c r="K21" i="13" a="1"/>
  <c r="K21" i="13" s="1"/>
  <c r="C10" i="13" s="1" a="1"/>
  <c r="C10" i="13" s="1"/>
  <c r="I11" i="13" a="1"/>
  <c r="I11" i="13" s="1"/>
  <c r="G11" i="13" a="1"/>
  <c r="G11" i="13" s="1"/>
  <c r="E11" i="13" a="1"/>
  <c r="E11" i="13" s="1"/>
  <c r="I10" i="13" a="1"/>
  <c r="I10" i="13" s="1"/>
  <c r="G10" i="13" a="1"/>
  <c r="G10" i="13" s="1"/>
  <c r="E10" i="13" a="1"/>
  <c r="E10" i="13" s="1"/>
  <c r="I9" i="13" a="1"/>
  <c r="I9" i="13" s="1"/>
  <c r="G9" i="13" a="1"/>
  <c r="G9" i="13" s="1"/>
  <c r="E9" i="13" a="1"/>
  <c r="E9" i="13" s="1"/>
  <c r="G2" i="13"/>
  <c r="B9" i="11"/>
  <c r="B10" i="12"/>
  <c r="B11" i="12"/>
  <c r="B9" i="12"/>
  <c r="K21" i="12" a="1"/>
  <c r="K21" i="12" s="1"/>
  <c r="C9" i="12" s="1" a="1"/>
  <c r="C9" i="12" s="1"/>
  <c r="I11" i="12" a="1"/>
  <c r="I11" i="12" s="1"/>
  <c r="G11" i="12" a="1"/>
  <c r="G11" i="12" s="1"/>
  <c r="G10" i="12" a="1"/>
  <c r="G10" i="12" s="1"/>
  <c r="E10" i="12" a="1"/>
  <c r="E10" i="12" s="1"/>
  <c r="G2" i="12"/>
  <c r="D10" i="7"/>
  <c r="C10" i="7" a="1"/>
  <c r="C10" i="7" s="1"/>
  <c r="C11" i="7" a="1"/>
  <c r="C11" i="7" s="1"/>
  <c r="C9" i="7" a="1"/>
  <c r="C9" i="7" s="1"/>
  <c r="B10" i="7"/>
  <c r="B11" i="7"/>
  <c r="B9" i="7"/>
  <c r="K21" i="7" a="1"/>
  <c r="K21" i="7" s="1"/>
  <c r="C9" i="10" a="1"/>
  <c r="C9" i="10" s="1"/>
  <c r="B9" i="10"/>
  <c r="C11" i="10" a="1"/>
  <c r="C11" i="10" s="1"/>
  <c r="C10" i="10" a="1"/>
  <c r="C10" i="10" s="1"/>
  <c r="K21" i="10" a="1"/>
  <c r="K21" i="10" s="1"/>
  <c r="K21" i="11" a="1"/>
  <c r="K21" i="11" s="1"/>
  <c r="C10" i="11" s="1" a="1"/>
  <c r="C10" i="11" s="1"/>
  <c r="E9" i="11" a="1"/>
  <c r="E9" i="11" s="1"/>
  <c r="I11" i="11" a="1"/>
  <c r="I11" i="11" s="1"/>
  <c r="G11" i="11" a="1"/>
  <c r="G11" i="11" s="1"/>
  <c r="E11" i="11" a="1"/>
  <c r="E11" i="11" s="1"/>
  <c r="I10" i="11" a="1"/>
  <c r="I10" i="11" s="1"/>
  <c r="G10" i="11" a="1"/>
  <c r="G10" i="11" s="1"/>
  <c r="E10" i="11" a="1"/>
  <c r="E10" i="11" s="1"/>
  <c r="I9" i="11" a="1"/>
  <c r="I9" i="11" s="1"/>
  <c r="G9" i="11" a="1"/>
  <c r="G9" i="11" s="1"/>
  <c r="G2" i="11"/>
  <c r="B10" i="11" s="1"/>
  <c r="I11" i="10" a="1"/>
  <c r="I11" i="10" s="1"/>
  <c r="G11" i="10" a="1"/>
  <c r="G11" i="10" s="1"/>
  <c r="E11" i="10" a="1"/>
  <c r="E11" i="10" s="1"/>
  <c r="I10" i="10" a="1"/>
  <c r="I10" i="10" s="1"/>
  <c r="G10" i="10" a="1"/>
  <c r="G10" i="10" s="1"/>
  <c r="E10" i="10" a="1"/>
  <c r="E10" i="10" s="1"/>
  <c r="I9" i="10" a="1"/>
  <c r="I9" i="10" s="1"/>
  <c r="G9" i="10" a="1"/>
  <c r="G9" i="10" s="1"/>
  <c r="E9" i="10" a="1"/>
  <c r="E9" i="10" s="1"/>
  <c r="G2" i="10"/>
  <c r="E11" i="7" a="1"/>
  <c r="E11" i="7" s="1"/>
  <c r="I11" i="7" a="1"/>
  <c r="I11" i="7" s="1"/>
  <c r="I9" i="7" a="1"/>
  <c r="I9" i="7" s="1"/>
  <c r="I10" i="7" a="1"/>
  <c r="I10" i="7" s="1"/>
  <c r="G11" i="7" a="1"/>
  <c r="G11" i="7" s="1"/>
  <c r="G10" i="7" a="1"/>
  <c r="G10" i="7" s="1"/>
  <c r="G9" i="7" a="1"/>
  <c r="G9" i="7" s="1"/>
  <c r="E10" i="7" a="1"/>
  <c r="E10" i="7" s="1"/>
  <c r="E9" i="7" a="1"/>
  <c r="E9" i="7" s="1"/>
  <c r="G2" i="7"/>
  <c r="C11" i="13" l="1" a="1"/>
  <c r="C11" i="13" s="1"/>
  <c r="B18" i="13" s="1"/>
  <c r="C9" i="13" a="1"/>
  <c r="C9" i="13" s="1"/>
  <c r="C11" i="11" a="1"/>
  <c r="C11" i="11" s="1"/>
  <c r="B18" i="11" s="1"/>
  <c r="C9" i="11" a="1"/>
  <c r="C9" i="11" s="1"/>
  <c r="B16" i="11" s="1"/>
  <c r="D11" i="14"/>
  <c r="C11" i="14" a="1"/>
  <c r="C11" i="14" s="1"/>
  <c r="B18" i="14" s="1"/>
  <c r="C10" i="14" a="1"/>
  <c r="C10" i="14" s="1"/>
  <c r="B10" i="14"/>
  <c r="D11" i="13"/>
  <c r="I10" i="12" a="1"/>
  <c r="I10" i="12" s="1"/>
  <c r="I9" i="12" a="1"/>
  <c r="I9" i="12" s="1"/>
  <c r="G9" i="12" a="1"/>
  <c r="G9" i="12" s="1"/>
  <c r="E9" i="12" a="1"/>
  <c r="E9" i="12" s="1"/>
  <c r="E11" i="12" a="1"/>
  <c r="E11" i="12" s="1"/>
  <c r="D10" i="12"/>
  <c r="C11" i="12" a="1"/>
  <c r="C11" i="12" s="1"/>
  <c r="C10" i="12" a="1"/>
  <c r="C10" i="12" s="1"/>
  <c r="B17" i="12" s="1"/>
  <c r="D9" i="11"/>
  <c r="B11" i="11"/>
  <c r="D11" i="11" s="1"/>
  <c r="D18" i="11"/>
  <c r="F11" i="11"/>
  <c r="D9" i="10"/>
  <c r="B16" i="10"/>
  <c r="B11" i="10"/>
  <c r="B10" i="10"/>
  <c r="B16" i="7"/>
  <c r="D9" i="7"/>
  <c r="F9" i="7" s="1"/>
  <c r="H9" i="7" s="1"/>
  <c r="D11" i="7"/>
  <c r="F11" i="7" s="1"/>
  <c r="F10" i="7"/>
  <c r="H10" i="7" s="1"/>
  <c r="H17" i="7" s="1"/>
  <c r="B18" i="7"/>
  <c r="B17" i="7"/>
  <c r="B17" i="14" l="1"/>
  <c r="D10" i="14"/>
  <c r="B16" i="14"/>
  <c r="D9" i="14"/>
  <c r="D18" i="14"/>
  <c r="F11" i="14"/>
  <c r="B17" i="13"/>
  <c r="D10" i="13"/>
  <c r="D9" i="13"/>
  <c r="B16" i="13"/>
  <c r="D18" i="13"/>
  <c r="F11" i="13"/>
  <c r="B18" i="12"/>
  <c r="D11" i="12"/>
  <c r="D9" i="12"/>
  <c r="B16" i="12"/>
  <c r="D17" i="12"/>
  <c r="F10" i="12"/>
  <c r="D16" i="11"/>
  <c r="F9" i="11"/>
  <c r="F18" i="11"/>
  <c r="H11" i="11"/>
  <c r="H18" i="11" s="1"/>
  <c r="B17" i="11"/>
  <c r="D10" i="11"/>
  <c r="D11" i="10"/>
  <c r="B18" i="10"/>
  <c r="D10" i="10"/>
  <c r="B17" i="10"/>
  <c r="D16" i="10"/>
  <c r="F9" i="10"/>
  <c r="H11" i="7"/>
  <c r="H18" i="7" s="1"/>
  <c r="D17" i="7"/>
  <c r="F17" i="7"/>
  <c r="D16" i="7"/>
  <c r="D18" i="7"/>
  <c r="F18" i="7"/>
  <c r="F16" i="7"/>
  <c r="H16" i="7"/>
  <c r="D17" i="14" l="1"/>
  <c r="F10" i="14"/>
  <c r="D16" i="14"/>
  <c r="F9" i="14"/>
  <c r="H11" i="14"/>
  <c r="H18" i="14" s="1"/>
  <c r="F18" i="14"/>
  <c r="D16" i="13"/>
  <c r="F9" i="13"/>
  <c r="H11" i="13"/>
  <c r="H18" i="13" s="1"/>
  <c r="F18" i="13"/>
  <c r="D17" i="13"/>
  <c r="F10" i="13"/>
  <c r="D16" i="12"/>
  <c r="F9" i="12"/>
  <c r="D18" i="12"/>
  <c r="F11" i="12"/>
  <c r="H10" i="12"/>
  <c r="H17" i="12" s="1"/>
  <c r="F17" i="12"/>
  <c r="F10" i="11"/>
  <c r="D17" i="11"/>
  <c r="H9" i="11"/>
  <c r="H16" i="11" s="1"/>
  <c r="F16" i="11"/>
  <c r="F10" i="10"/>
  <c r="D17" i="10"/>
  <c r="H9" i="10"/>
  <c r="H16" i="10" s="1"/>
  <c r="F16" i="10"/>
  <c r="F11" i="10"/>
  <c r="D18" i="10"/>
  <c r="H10" i="14" l="1"/>
  <c r="H17" i="14" s="1"/>
  <c r="F17" i="14"/>
  <c r="H9" i="14"/>
  <c r="H16" i="14" s="1"/>
  <c r="F16" i="14"/>
  <c r="H10" i="13"/>
  <c r="H17" i="13" s="1"/>
  <c r="F17" i="13"/>
  <c r="H9" i="13"/>
  <c r="H16" i="13" s="1"/>
  <c r="F16" i="13"/>
  <c r="H11" i="12"/>
  <c r="H18" i="12" s="1"/>
  <c r="F18" i="12"/>
  <c r="H9" i="12"/>
  <c r="H16" i="12" s="1"/>
  <c r="F16" i="12"/>
  <c r="F17" i="11"/>
  <c r="H10" i="11"/>
  <c r="H17" i="11" s="1"/>
  <c r="F18" i="10"/>
  <c r="H11" i="10"/>
  <c r="H18" i="10" s="1"/>
  <c r="F17" i="10"/>
  <c r="H10" i="10"/>
  <c r="H17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<sst xmlns="http://schemas.openxmlformats.org/spreadsheetml/2006/main" count="431" uniqueCount="74">
  <si>
    <t>Reconciliations (Excel vs SQL)</t>
  </si>
  <si>
    <t>Channel Name</t>
  </si>
  <si>
    <t>Excel</t>
  </si>
  <si>
    <t>SQL</t>
  </si>
  <si>
    <t>Potential Product Sales per video</t>
  </si>
  <si>
    <t>Potential revenue per video</t>
  </si>
  <si>
    <t>Net profit</t>
  </si>
  <si>
    <t>Conversion rate</t>
  </si>
  <si>
    <t>Product cost</t>
  </si>
  <si>
    <t>Difference (Excel vs SQL)</t>
  </si>
  <si>
    <t>Campaign cost</t>
  </si>
  <si>
    <t>Campaign type</t>
  </si>
  <si>
    <t>#note-One-time fee</t>
  </si>
  <si>
    <t>Influencer Marketing</t>
  </si>
  <si>
    <t>Product Placement</t>
  </si>
  <si>
    <t>Total Subscribers (M)</t>
  </si>
  <si>
    <t>Total Videos</t>
  </si>
  <si>
    <t>Total Views (B)</t>
  </si>
  <si>
    <t>Avg Views per Video (M)</t>
  </si>
  <si>
    <t>MrBeast</t>
  </si>
  <si>
    <t xml:space="preserve">MrBeast </t>
  </si>
  <si>
    <t>channel_name</t>
  </si>
  <si>
    <t>rounded_avg_views_per_video</t>
  </si>
  <si>
    <t>Potential_Product_Sales_Per_Video</t>
  </si>
  <si>
    <t>Potential_revenue_per_video</t>
  </si>
  <si>
    <t>Net_profit</t>
  </si>
  <si>
    <t>million</t>
  </si>
  <si>
    <t>Avg Subscribers per Video</t>
  </si>
  <si>
    <t>Avg Views per Subscriber</t>
  </si>
  <si>
    <t>Copy from Power BI</t>
  </si>
  <si>
    <t>Avg Views per Vid (M)</t>
  </si>
  <si>
    <t>Copy from SQL</t>
  </si>
  <si>
    <t>VEGETTA777</t>
  </si>
  <si>
    <t>Felipe Neto</t>
  </si>
  <si>
    <t xml:space="preserve">Felipe Neto </t>
  </si>
  <si>
    <t xml:space="preserve">VEGETTA777 </t>
  </si>
  <si>
    <t>Vlad and Niki</t>
  </si>
  <si>
    <t>✿ Kids Diana Show</t>
  </si>
  <si>
    <t>Ishtar Music</t>
  </si>
  <si>
    <t xml:space="preserve">Ishtar Music </t>
  </si>
  <si>
    <t>Like Nastya</t>
  </si>
  <si>
    <t xml:space="preserve">Vlad and Niki </t>
  </si>
  <si>
    <t xml:space="preserve">Like Nastya </t>
  </si>
  <si>
    <t xml:space="preserve">✿ Kids Diana Show </t>
  </si>
  <si>
    <t>channel_name (trim)</t>
  </si>
  <si>
    <t>(5000 $/video)</t>
  </si>
  <si>
    <t>Sponsored video series (11 vids)</t>
  </si>
  <si>
    <t>Total Views Analysis (Top 3 by views)</t>
  </si>
  <si>
    <t>Total Videos Analysis (Top 3 by videos)</t>
  </si>
  <si>
    <t>Bad Bunny</t>
  </si>
  <si>
    <t>Bruno Mars</t>
  </si>
  <si>
    <t>Katy Perry</t>
  </si>
  <si>
    <t xml:space="preserve">Bad Bunny </t>
  </si>
  <si>
    <t xml:space="preserve">Bruno Mars </t>
  </si>
  <si>
    <t xml:space="preserve">Katy Perry </t>
  </si>
  <si>
    <t>Billie Eilish</t>
  </si>
  <si>
    <t>Avg views per video Analysis (Top 3 by avg views per video)</t>
  </si>
  <si>
    <t>Avg subscribers per video Analysis (Top 3 by avg subs per vid)</t>
  </si>
  <si>
    <t xml:space="preserve">Billie Eilish </t>
  </si>
  <si>
    <t>Ryan's World</t>
  </si>
  <si>
    <t>Toys and Colors</t>
  </si>
  <si>
    <t>Alfredo Larin</t>
  </si>
  <si>
    <t>Avg views per subscriber Analysis (Top 3 by avg views per sub)</t>
  </si>
  <si>
    <t xml:space="preserve">Toys and Colors </t>
  </si>
  <si>
    <t xml:space="preserve">Alfredo Larin </t>
  </si>
  <si>
    <t xml:space="preserve">Ryan's World </t>
  </si>
  <si>
    <t>Recommendatioms</t>
  </si>
  <si>
    <t>Total Subscribers Analysis (Top 3 by subscribers)</t>
  </si>
  <si>
    <t xml:space="preserve"> MrBeast คือช่องที่แนะนำที่สุด ด้วยฐานผู้ติดตามที่คาดการณ์สูงถึง 479 ล้านคน และมียอดวิวเฉลี่ยต่อคลิปสูงถึง 122.9 ล้านวิว ทำให้กำไรสุทธิพุ่งสูงถึง $12,241,000 และเมื่อฐานแฟนคลับใหญ่ การวางสินค้าในวิดีโอเพียงครั้งเดียวจะถูกกระจายไปทั่วโลกทันที ทำให้ต้นทุนต่อการมองเห็นต่ำมากเมื่อเทียบกับประสิทธิภาพที่ได้รับ</t>
  </si>
  <si>
    <t>ในกลุ่มนี้กำไรสุทธิทุกช่องต่ำกว่ากลุ่มอื่นมาก เพราะแม้จะมีวิดีโอเยอะ แต่ avg views ต่อวิดีโอต่ำ อย่างไรก็ตาม Ishtar Music ยังให้กำไรสุทธิดีที่สุดในกลุ่มที่ $383,000 ถ้าจำเป็นต้องเลือกในกลุ่มนี้ก็เลือก Ishtar Music แต่ควรพิจารณาว่า budget $55,000 นี้จะคุ้มกว่าถ้าโยกไปลงทุนกับกลุ่มอื่นแทน</t>
  </si>
  <si>
    <t>ควรเลือก Vlad and Niki เป็นตัวเลือกแรก ที่ให้กำไรสุทธิสูงสุดที่ $11,854,000 และ Like Nastya ตามมาที่ $11,249,000 ทั้งสองช่องมี total views สูงมากและ avg views ต่อวิดีโอเกิน 100M ทำให้ potential sales แกร่งมาก Kids Diana Show แม้จะติด top 3 ด้าน total views แต่กำไรสุทธิห่างจาก 2 อันดับแรกพอสมควร</t>
  </si>
  <si>
    <t>Toys and Colors ให้กำไรสุทธิสูงที่สุด เนื่องจากมียอดวิวเฉลี่ยต่อวิดีโอสูงมาก สะท้อนถึง engagement ที่ดีมาก แม้ Ryan's World จะมีฐานที่แข็งแรง แต่เมื่อเทียบกันแล้ว Toys and Color สามารถสร้างรายได้และกำไรสุทธิได้สูงกว่าอย่างชัดเจน ดังนั้น Toys and Colors เป็นตัวเลือกที่คุ้มค่าที่สุด</t>
  </si>
  <si>
    <t>Bad Bunny ให้กำไรสุทธิสูงสุดที่ $24,713,000 จาก avg views ต่อวิดีโอสูงถึง 247.68M ซึ่งสะท้อนว่าทุกๆ วิดีโอที่ออกมาล้วน viral ในระดับสูงมาก จาก campaign cost แค่ $55,000 ถือว่าคุ้มค่าสูงมาก Bruno Mars ก็เป็นตัวเลือกที่ดีมากรองลงมา ทั้งสองช่องเป็น music artist ที่มีฐานแฟนคลับกว้างขวาง</t>
  </si>
  <si>
    <t>Bruno Mars ให้กำไรสุทธิสูงที่สุด แม้ MrBeast จะมี performance ที่ดี แต่ Bruno Mars มี Average Views ต่อวิดีโอสูงกว่า ส่งผลให้กำไรสุทธิสูงที่สุด ส่วน Billie Eilish อยู่ในระดับรองลงมา แต่ยังไม่สามารถเทียบกับ Bruno Mars ได้ในแง่กำไรสุทธิ
ดังนั้น Bruno Mars เป็นช่องที่ควรเลือกที่สุดในนี้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</si>
</sst>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9" formatCode="_-* #,##0_-;\-* #,##0_-;_-* &quot;-&quot;??_-;_-@_-"/>
  </numFmts>
  <fonts count="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189" fontId="0" fillId="0" borderId="0" xfId="1" applyNumberFormat="1" applyFont="1"/>
    <xf numFmtId="189" fontId="0" fillId="0" borderId="1" xfId="1" applyNumberFormat="1" applyFont="1" applyBorder="1"/>
    <xf numFmtId="0" fontId="2" fillId="2" borderId="0" xfId="0" applyFont="1" applyFill="1" applyAlignment="1">
      <alignment horizontal="center" vertical="center"/>
    </xf>
    <xf numFmtId="0" fontId="0" fillId="7" borderId="0" xfId="0" applyFill="1"/>
    <xf numFmtId="0" fontId="0" fillId="8" borderId="1" xfId="0" applyFill="1" applyBorder="1"/>
    <xf numFmtId="189" fontId="0" fillId="0" borderId="1" xfId="0" applyNumberFormat="1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9" borderId="0" xfId="0" applyFill="1"/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10" borderId="0" xfId="0" applyFill="1"/>
    <xf numFmtId="18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89" fontId="0" fillId="0" borderId="1" xfId="1" applyNumberFormat="1" applyFont="1" applyBorder="1" applyAlignment="1"/>
    <xf numFmtId="0" fontId="0" fillId="11" borderId="1" xfId="0" applyFill="1" applyBorder="1"/>
    <xf numFmtId="0" fontId="0" fillId="0" borderId="1" xfId="0" applyBorder="1" applyAlignment="1">
      <alignment horizontal="right"/>
    </xf>
    <xf numFmtId="4" fontId="0" fillId="0" borderId="0" xfId="0" applyNumberFormat="1"/>
    <xf numFmtId="0" fontId="0" fillId="0" borderId="0" xfId="0" applyBorder="1" applyAlignment="1"/>
    <xf numFmtId="0" fontId="0" fillId="12" borderId="0" xfId="0" applyFont="1" applyFill="1"/>
    <xf numFmtId="0" fontId="0" fillId="13" borderId="0" xfId="0" applyFill="1"/>
    <xf numFmtId="0" fontId="0" fillId="0" borderId="0" xfId="0" applyAlignment="1">
      <alignment horizontal="center" vertical="center" wrapText="1"/>
    </xf>
    <xf numFmtId="9" fontId="0" fillId="0" borderId="0" xfId="2" applyFont="1"/>
    <xf numFmtId="0" fontId="3" fillId="0" borderId="0" xfId="0" applyFont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61D0-76E2-4766-9471-74DF603D453C}">
  <dimension ref="A1:O25"/>
  <sheetViews>
    <sheetView topLeftCell="A9" zoomScale="85" zoomScaleNormal="85" workbookViewId="0">
      <selection activeCell="A30" sqref="A30"/>
    </sheetView>
  </sheetViews>
  <sheetFormatPr defaultRowHeight="14.25" x14ac:dyDescent="0.2"/>
  <cols>
    <col min="1" max="1" width="45.875" customWidth="1"/>
    <col min="2" max="2" width="18" customWidth="1"/>
    <col min="3" max="3" width="21.5" customWidth="1"/>
    <col min="4" max="4" width="25" customWidth="1"/>
    <col min="5" max="5" width="17.625" customWidth="1"/>
    <col min="6" max="6" width="13.625" customWidth="1"/>
    <col min="7" max="7" width="13.375" customWidth="1"/>
    <col min="8" max="8" width="19.875" customWidth="1"/>
    <col min="9" max="9" width="11.25" customWidth="1"/>
    <col min="10" max="10" width="20.625" customWidth="1"/>
    <col min="11" max="11" width="21.625" customWidth="1"/>
    <col min="12" max="12" width="12.25" customWidth="1"/>
    <col min="13" max="13" width="19.875" customWidth="1"/>
  </cols>
  <sheetData>
    <row r="1" spans="1:15" x14ac:dyDescent="0.2">
      <c r="A1" s="8" t="s">
        <v>67</v>
      </c>
    </row>
    <row r="2" spans="1:15" x14ac:dyDescent="0.2">
      <c r="A2" s="8"/>
      <c r="C2" s="23" t="s">
        <v>11</v>
      </c>
      <c r="D2" s="24" t="s">
        <v>14</v>
      </c>
      <c r="E2" s="26"/>
      <c r="F2" s="27" t="s">
        <v>26</v>
      </c>
      <c r="G2" s="6">
        <f>1000000</f>
        <v>1000000</v>
      </c>
    </row>
    <row r="3" spans="1:15" x14ac:dyDescent="0.2">
      <c r="C3" s="10" t="s">
        <v>7</v>
      </c>
      <c r="D3" s="4">
        <v>0.02</v>
      </c>
    </row>
    <row r="4" spans="1:15" x14ac:dyDescent="0.2">
      <c r="C4" s="10" t="s">
        <v>8</v>
      </c>
      <c r="D4" s="4">
        <v>5</v>
      </c>
    </row>
    <row r="5" spans="1:15" x14ac:dyDescent="0.2">
      <c r="C5" s="10" t="s">
        <v>10</v>
      </c>
      <c r="D5" s="7">
        <v>50000</v>
      </c>
      <c r="E5" t="s">
        <v>12</v>
      </c>
    </row>
    <row r="6" spans="1:15" x14ac:dyDescent="0.2">
      <c r="A6" s="9" t="s">
        <v>0</v>
      </c>
      <c r="K6" s="28" t="s">
        <v>29</v>
      </c>
    </row>
    <row r="7" spans="1:15" x14ac:dyDescent="0.2">
      <c r="A7" s="17" t="s">
        <v>1</v>
      </c>
      <c r="B7" s="12" t="s">
        <v>30</v>
      </c>
      <c r="C7" s="13"/>
      <c r="D7" s="12" t="s">
        <v>4</v>
      </c>
      <c r="E7" s="13"/>
      <c r="F7" s="12" t="s">
        <v>5</v>
      </c>
      <c r="G7" s="13"/>
      <c r="H7" s="12" t="s">
        <v>6</v>
      </c>
      <c r="I7" s="13"/>
      <c r="K7" t="s">
        <v>1</v>
      </c>
      <c r="L7" t="s">
        <v>15</v>
      </c>
      <c r="M7" t="s">
        <v>18</v>
      </c>
    </row>
    <row r="8" spans="1:15" x14ac:dyDescent="0.2">
      <c r="A8" s="18"/>
      <c r="B8" s="2" t="s">
        <v>2</v>
      </c>
      <c r="C8" s="3" t="s">
        <v>3</v>
      </c>
      <c r="D8" s="2" t="s">
        <v>2</v>
      </c>
      <c r="E8" s="3" t="s">
        <v>3</v>
      </c>
      <c r="F8" s="2" t="s">
        <v>2</v>
      </c>
      <c r="G8" s="3" t="s">
        <v>3</v>
      </c>
      <c r="H8" s="2" t="s">
        <v>2</v>
      </c>
      <c r="I8" s="3" t="s">
        <v>3</v>
      </c>
      <c r="K8" t="s">
        <v>19</v>
      </c>
      <c r="L8">
        <v>479</v>
      </c>
      <c r="M8">
        <v>122.91</v>
      </c>
    </row>
    <row r="9" spans="1:15" x14ac:dyDescent="0.2">
      <c r="A9" s="4" t="s">
        <v>19</v>
      </c>
      <c r="B9" s="22">
        <f>M8*$G$2</f>
        <v>122910000</v>
      </c>
      <c r="C9" s="22" cm="1">
        <f t="array" ref="C9">_xlfn.XLOOKUP(A9,_xlfn.ANCHORARRAY($K$21),$L$21:$L$23)</f>
        <v>122910000</v>
      </c>
      <c r="D9" s="7">
        <f>B9*$D$3</f>
        <v>2458200</v>
      </c>
      <c r="E9" s="22" cm="1">
        <f t="array" ref="E9">_xlfn.XLOOKUP(A9,TRIM($K$15:$K$17),$M$15:$M$17)</f>
        <v>2458200</v>
      </c>
      <c r="F9" s="11">
        <f>D9*$D$4</f>
        <v>12291000</v>
      </c>
      <c r="G9" s="11" cm="1">
        <f t="array" ref="G9">_xlfn.XLOOKUP(A9,TRIM($K$15:$K$17),$N$15:$N$17)</f>
        <v>12291000</v>
      </c>
      <c r="H9" s="7">
        <f>F9-$D$5</f>
        <v>12241000</v>
      </c>
      <c r="I9" s="7" cm="1">
        <f t="array" ref="I9">_xlfn.XLOOKUP(A9,TRIM($K$15:$K$17),$O$15:$O$17)</f>
        <v>12241000</v>
      </c>
      <c r="J9" s="30"/>
      <c r="K9" t="s">
        <v>36</v>
      </c>
      <c r="L9">
        <v>149</v>
      </c>
      <c r="M9">
        <v>119.04</v>
      </c>
    </row>
    <row r="10" spans="1:15" x14ac:dyDescent="0.2">
      <c r="A10" s="4" t="s">
        <v>36</v>
      </c>
      <c r="B10" s="22">
        <f t="shared" ref="B10:B11" si="0">M9*$G$2</f>
        <v>119040000</v>
      </c>
      <c r="C10" s="22" cm="1">
        <f t="array" ref="C10">_xlfn.XLOOKUP(A10,_xlfn.ANCHORARRAY($K$21),$L$21:$L$23)</f>
        <v>119040000</v>
      </c>
      <c r="D10" s="7">
        <f>B10*$D$3</f>
        <v>2380800</v>
      </c>
      <c r="E10" s="22" cm="1">
        <f t="array" ref="E10">_xlfn.XLOOKUP(A10,TRIM($K$15:$K$17),$M$15:$M$17)</f>
        <v>2380800</v>
      </c>
      <c r="F10" s="11">
        <f>D10*$D$4</f>
        <v>11904000</v>
      </c>
      <c r="G10" s="11" cm="1">
        <f t="array" ref="G10">_xlfn.XLOOKUP(A10,TRIM($K$15:$K$17),$N$15:$N$17)</f>
        <v>11904000</v>
      </c>
      <c r="H10" s="7">
        <f t="shared" ref="H10:H11" si="1">F10-$D$5</f>
        <v>11854000</v>
      </c>
      <c r="I10" s="7" cm="1">
        <f t="array" ref="I10">_xlfn.XLOOKUP(A10,TRIM($K$15:$K$17),$O$15:$O$17)</f>
        <v>11854000</v>
      </c>
      <c r="J10" s="30"/>
      <c r="K10" t="s">
        <v>37</v>
      </c>
      <c r="L10">
        <v>138</v>
      </c>
      <c r="M10">
        <v>77</v>
      </c>
    </row>
    <row r="11" spans="1:15" x14ac:dyDescent="0.2">
      <c r="A11" s="4" t="s">
        <v>37</v>
      </c>
      <c r="B11" s="22">
        <f t="shared" si="0"/>
        <v>77000000</v>
      </c>
      <c r="C11" s="22" cm="1">
        <f t="array" ref="C11">_xlfn.XLOOKUP(A11,_xlfn.ANCHORARRAY($K$21),$L$21:$L$23)</f>
        <v>77000000</v>
      </c>
      <c r="D11" s="7">
        <f>B11*$D$3</f>
        <v>1540000</v>
      </c>
      <c r="E11" s="22" cm="1">
        <f t="array" ref="E11">_xlfn.XLOOKUP(A11,TRIM($K$15:$K$17),$M$15:$M$17)</f>
        <v>1540000</v>
      </c>
      <c r="F11" s="11">
        <f>D11*$D$4</f>
        <v>7700000</v>
      </c>
      <c r="G11" s="11" cm="1">
        <f t="array" ref="G11">_xlfn.XLOOKUP(A11,TRIM($K$15:$K$17),$N$15:$N$17)</f>
        <v>7700000</v>
      </c>
      <c r="H11" s="7">
        <f>F11-$D$5</f>
        <v>7650000</v>
      </c>
      <c r="I11" s="7" cm="1">
        <f t="array" ref="I11">_xlfn.XLOOKUP(A11,TRIM($K$15:$K$17),$O$15:$O$17)</f>
        <v>7650000</v>
      </c>
      <c r="J11" s="30"/>
    </row>
    <row r="13" spans="1:15" x14ac:dyDescent="0.2">
      <c r="A13" s="16" t="s">
        <v>9</v>
      </c>
      <c r="K13" s="28" t="s">
        <v>31</v>
      </c>
    </row>
    <row r="14" spans="1:15" x14ac:dyDescent="0.2">
      <c r="A14" s="14" t="s">
        <v>1</v>
      </c>
      <c r="B14" s="5" t="s">
        <v>30</v>
      </c>
      <c r="C14" s="5"/>
      <c r="D14" s="5" t="s">
        <v>4</v>
      </c>
      <c r="E14" s="5"/>
      <c r="F14" s="5" t="s">
        <v>5</v>
      </c>
      <c r="G14" s="5"/>
      <c r="H14" s="5" t="s">
        <v>6</v>
      </c>
      <c r="I14" s="5"/>
      <c r="K14" t="s">
        <v>21</v>
      </c>
      <c r="L14" t="s">
        <v>22</v>
      </c>
      <c r="M14" t="s">
        <v>23</v>
      </c>
      <c r="N14" t="s">
        <v>24</v>
      </c>
      <c r="O14" t="s">
        <v>25</v>
      </c>
    </row>
    <row r="15" spans="1:15" x14ac:dyDescent="0.2">
      <c r="A15" s="15"/>
      <c r="B15" s="5"/>
      <c r="C15" s="5"/>
      <c r="D15" s="5"/>
      <c r="E15" s="5"/>
      <c r="F15" s="5"/>
      <c r="G15" s="5"/>
      <c r="H15" s="5"/>
      <c r="I15" s="5"/>
      <c r="K15" t="s">
        <v>20</v>
      </c>
      <c r="L15">
        <v>122910000</v>
      </c>
      <c r="M15">
        <v>2458200</v>
      </c>
      <c r="N15">
        <v>12291000</v>
      </c>
      <c r="O15">
        <v>12241000</v>
      </c>
    </row>
    <row r="16" spans="1:15" x14ac:dyDescent="0.2">
      <c r="A16" s="4" t="s">
        <v>19</v>
      </c>
      <c r="B16" s="20">
        <f>B9-C9</f>
        <v>0</v>
      </c>
      <c r="C16" s="21"/>
      <c r="D16" s="20">
        <f>D9-E9</f>
        <v>0</v>
      </c>
      <c r="E16" s="21"/>
      <c r="F16" s="20">
        <f>F9-G9</f>
        <v>0</v>
      </c>
      <c r="G16" s="21"/>
      <c r="H16" s="20">
        <f>H9-I9</f>
        <v>0</v>
      </c>
      <c r="I16" s="21"/>
      <c r="K16" t="s">
        <v>41</v>
      </c>
      <c r="L16">
        <v>119040000</v>
      </c>
      <c r="M16">
        <v>2380800</v>
      </c>
      <c r="N16">
        <v>11904000</v>
      </c>
      <c r="O16">
        <v>11854000</v>
      </c>
    </row>
    <row r="17" spans="1:15" x14ac:dyDescent="0.2">
      <c r="A17" s="4" t="s">
        <v>36</v>
      </c>
      <c r="B17" s="20">
        <f t="shared" ref="B17:D18" si="2">B10-C10</f>
        <v>0</v>
      </c>
      <c r="C17" s="21"/>
      <c r="D17" s="20">
        <f t="shared" si="2"/>
        <v>0</v>
      </c>
      <c r="E17" s="21"/>
      <c r="F17" s="20">
        <f t="shared" ref="F17:F18" si="3">F10-G10</f>
        <v>0</v>
      </c>
      <c r="G17" s="21"/>
      <c r="H17" s="20">
        <f>H10-I10</f>
        <v>0</v>
      </c>
      <c r="I17" s="21"/>
      <c r="K17" t="s">
        <v>43</v>
      </c>
      <c r="L17">
        <v>77000000</v>
      </c>
      <c r="M17">
        <v>1540000</v>
      </c>
      <c r="N17">
        <v>7700000</v>
      </c>
      <c r="O17">
        <v>7650000</v>
      </c>
    </row>
    <row r="18" spans="1:15" x14ac:dyDescent="0.2">
      <c r="A18" s="4" t="s">
        <v>37</v>
      </c>
      <c r="B18" s="20">
        <f t="shared" si="2"/>
        <v>0</v>
      </c>
      <c r="C18" s="21"/>
      <c r="D18" s="20">
        <f t="shared" si="2"/>
        <v>0</v>
      </c>
      <c r="E18" s="21"/>
      <c r="F18" s="20">
        <f t="shared" si="3"/>
        <v>0</v>
      </c>
      <c r="G18" s="21"/>
      <c r="H18" s="20">
        <f>H11-I11</f>
        <v>0</v>
      </c>
      <c r="I18" s="21"/>
    </row>
    <row r="20" spans="1:15" x14ac:dyDescent="0.2">
      <c r="K20" s="28" t="s">
        <v>44</v>
      </c>
      <c r="L20" t="s">
        <v>22</v>
      </c>
      <c r="M20" t="s">
        <v>23</v>
      </c>
      <c r="N20" t="s">
        <v>24</v>
      </c>
      <c r="O20" t="s">
        <v>25</v>
      </c>
    </row>
    <row r="21" spans="1:15" x14ac:dyDescent="0.2">
      <c r="K21" t="str" cm="1">
        <f t="array" ref="K21:K23">TRIM(K15:K17)</f>
        <v>MrBeast</v>
      </c>
      <c r="L21">
        <v>122910000</v>
      </c>
      <c r="M21">
        <v>2458200</v>
      </c>
      <c r="N21">
        <v>12291000</v>
      </c>
      <c r="O21">
        <v>12241000</v>
      </c>
    </row>
    <row r="22" spans="1:15" x14ac:dyDescent="0.2">
      <c r="K22" t="str">
        <v>Vlad and Niki</v>
      </c>
      <c r="L22">
        <v>119040000</v>
      </c>
      <c r="M22">
        <v>2380800</v>
      </c>
      <c r="N22">
        <v>11904000</v>
      </c>
      <c r="O22">
        <v>11854000</v>
      </c>
    </row>
    <row r="23" spans="1:15" x14ac:dyDescent="0.2">
      <c r="K23" t="str">
        <v>✿ Kids Diana Show</v>
      </c>
      <c r="L23">
        <v>77000000</v>
      </c>
      <c r="M23">
        <v>1540000</v>
      </c>
      <c r="N23">
        <v>7700000</v>
      </c>
      <c r="O23">
        <v>7650000</v>
      </c>
    </row>
    <row r="24" spans="1:15" ht="15.75" customHeight="1" x14ac:dyDescent="0.2">
      <c r="A24" s="1" t="s">
        <v>66</v>
      </c>
    </row>
    <row r="25" spans="1:15" ht="64.5" customHeight="1" x14ac:dyDescent="0.2">
      <c r="A25" s="29" t="s">
        <v>68</v>
      </c>
      <c r="B25" s="29"/>
      <c r="C25" s="29"/>
    </row>
  </sheetData>
  <mergeCells count="23">
    <mergeCell ref="A25:C25"/>
    <mergeCell ref="B17:C17"/>
    <mergeCell ref="D17:E17"/>
    <mergeCell ref="F17:G17"/>
    <mergeCell ref="H17:I17"/>
    <mergeCell ref="B18:C18"/>
    <mergeCell ref="D18:E18"/>
    <mergeCell ref="F18:G18"/>
    <mergeCell ref="H18:I18"/>
    <mergeCell ref="A14:A15"/>
    <mergeCell ref="B14:C15"/>
    <mergeCell ref="D14:E15"/>
    <mergeCell ref="F14:G15"/>
    <mergeCell ref="H14:I15"/>
    <mergeCell ref="B16:C16"/>
    <mergeCell ref="D16:E16"/>
    <mergeCell ref="F16:G16"/>
    <mergeCell ref="H16:I16"/>
    <mergeCell ref="A1:A2"/>
    <mergeCell ref="B7:C7"/>
    <mergeCell ref="D7:E7"/>
    <mergeCell ref="F7:G7"/>
    <mergeCell ref="H7:I7"/>
  </mergeCells>
  <conditionalFormatting sqref="B16:I18">
    <cfRule type="cellIs" dxfId="25" priority="9" operator="notEqual">
      <formula>0</formula>
    </cfRule>
  </conditionalFormatting>
  <conditionalFormatting sqref="H9:I11">
    <cfRule type="top10" dxfId="24" priority="5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968E-B828-45A3-8113-AB5957BB842B}">
  <dimension ref="A1:O25"/>
  <sheetViews>
    <sheetView topLeftCell="A15" zoomScaleNormal="100" workbookViewId="0">
      <selection activeCell="A25" sqref="A25:C25"/>
    </sheetView>
  </sheetViews>
  <sheetFormatPr defaultRowHeight="14.25" x14ac:dyDescent="0.2"/>
  <cols>
    <col min="1" max="1" width="37.375" customWidth="1"/>
    <col min="2" max="2" width="18" customWidth="1"/>
    <col min="3" max="3" width="21.5" customWidth="1"/>
    <col min="4" max="4" width="28.625" customWidth="1"/>
    <col min="5" max="5" width="17.625" customWidth="1"/>
    <col min="6" max="6" width="13.625" customWidth="1"/>
    <col min="7" max="7" width="13.375" customWidth="1"/>
    <col min="8" max="8" width="19.875" customWidth="1"/>
    <col min="9" max="9" width="11.25" customWidth="1"/>
    <col min="10" max="10" width="20.625" customWidth="1"/>
    <col min="11" max="11" width="21.625" customWidth="1"/>
    <col min="12" max="12" width="16.375" customWidth="1"/>
    <col min="13" max="13" width="19.875" customWidth="1"/>
  </cols>
  <sheetData>
    <row r="1" spans="1:15" x14ac:dyDescent="0.2">
      <c r="A1" s="8" t="s">
        <v>48</v>
      </c>
    </row>
    <row r="2" spans="1:15" x14ac:dyDescent="0.2">
      <c r="A2" s="8"/>
      <c r="C2" s="23" t="s">
        <v>11</v>
      </c>
      <c r="D2" s="24" t="s">
        <v>46</v>
      </c>
      <c r="E2" s="26" t="s">
        <v>45</v>
      </c>
      <c r="F2" s="27" t="s">
        <v>26</v>
      </c>
      <c r="G2" s="6">
        <f>1000000</f>
        <v>1000000</v>
      </c>
    </row>
    <row r="3" spans="1:15" x14ac:dyDescent="0.2">
      <c r="C3" s="10" t="s">
        <v>7</v>
      </c>
      <c r="D3" s="4">
        <v>0.02</v>
      </c>
    </row>
    <row r="4" spans="1:15" x14ac:dyDescent="0.2">
      <c r="C4" s="10" t="s">
        <v>8</v>
      </c>
      <c r="D4" s="4">
        <v>5</v>
      </c>
    </row>
    <row r="5" spans="1:15" x14ac:dyDescent="0.2">
      <c r="C5" s="10" t="s">
        <v>10</v>
      </c>
      <c r="D5" s="7">
        <v>55000</v>
      </c>
    </row>
    <row r="6" spans="1:15" x14ac:dyDescent="0.2">
      <c r="A6" s="9" t="s">
        <v>0</v>
      </c>
      <c r="K6" s="28" t="s">
        <v>29</v>
      </c>
    </row>
    <row r="7" spans="1:15" x14ac:dyDescent="0.2">
      <c r="A7" s="14" t="s">
        <v>1</v>
      </c>
      <c r="B7" s="12" t="s">
        <v>30</v>
      </c>
      <c r="C7" s="13"/>
      <c r="D7" s="12" t="s">
        <v>4</v>
      </c>
      <c r="E7" s="13"/>
      <c r="F7" s="12" t="s">
        <v>5</v>
      </c>
      <c r="G7" s="13"/>
      <c r="H7" s="12" t="s">
        <v>6</v>
      </c>
      <c r="I7" s="13"/>
      <c r="K7" t="s">
        <v>1</v>
      </c>
      <c r="L7" t="s">
        <v>16</v>
      </c>
      <c r="M7" t="s">
        <v>18</v>
      </c>
    </row>
    <row r="8" spans="1:15" x14ac:dyDescent="0.2">
      <c r="A8" s="15"/>
      <c r="B8" s="2" t="s">
        <v>2</v>
      </c>
      <c r="C8" s="3" t="s">
        <v>3</v>
      </c>
      <c r="D8" s="2" t="s">
        <v>2</v>
      </c>
      <c r="E8" s="3" t="s">
        <v>3</v>
      </c>
      <c r="F8" s="2" t="s">
        <v>2</v>
      </c>
      <c r="G8" s="3" t="s">
        <v>3</v>
      </c>
      <c r="H8" s="2" t="s">
        <v>2</v>
      </c>
      <c r="I8" s="3" t="s">
        <v>3</v>
      </c>
      <c r="K8" t="s">
        <v>32</v>
      </c>
      <c r="L8">
        <v>8802</v>
      </c>
      <c r="M8">
        <v>1.86</v>
      </c>
    </row>
    <row r="9" spans="1:15" x14ac:dyDescent="0.2">
      <c r="A9" s="4" t="s">
        <v>32</v>
      </c>
      <c r="B9" s="22">
        <f>M8*$G$2</f>
        <v>1860000</v>
      </c>
      <c r="C9" s="22" cm="1">
        <f t="array" ref="C9">_xlfn.XLOOKUP(A9,_xlfn.ANCHORARRAY($K$21),$L$21:$L$23)</f>
        <v>1860000</v>
      </c>
      <c r="D9" s="7">
        <f>B9*$D$3</f>
        <v>37200</v>
      </c>
      <c r="E9" s="22" cm="1">
        <f t="array" ref="E9">_xlfn.XLOOKUP(A9,TRIM($K$15:$K$17),$M$15:$M$17)</f>
        <v>37200</v>
      </c>
      <c r="F9" s="11">
        <f>D9*$D$4</f>
        <v>186000</v>
      </c>
      <c r="G9" s="11" cm="1">
        <f t="array" ref="G9">_xlfn.XLOOKUP(A9,TRIM($K$15:$K$17),$N$15:$N$17)</f>
        <v>186000</v>
      </c>
      <c r="H9" s="7">
        <f>F9-$D$5</f>
        <v>131000</v>
      </c>
      <c r="I9" s="7" cm="1">
        <f t="array" ref="I9">_xlfn.XLOOKUP(A9,TRIM($K$15:$K$17),$O$15:$O$17)</f>
        <v>131000</v>
      </c>
      <c r="K9" t="s">
        <v>38</v>
      </c>
      <c r="L9">
        <v>6491</v>
      </c>
      <c r="M9">
        <v>4.38</v>
      </c>
    </row>
    <row r="10" spans="1:15" x14ac:dyDescent="0.2">
      <c r="A10" s="4" t="s">
        <v>38</v>
      </c>
      <c r="B10" s="22">
        <f t="shared" ref="B10:B11" si="0">M9*$G$2</f>
        <v>4380000</v>
      </c>
      <c r="C10" s="22" cm="1">
        <f t="array" ref="C10">_xlfn.XLOOKUP(A10,_xlfn.ANCHORARRAY($K$21),$L$21:$L$23)</f>
        <v>4380000</v>
      </c>
      <c r="D10" s="7">
        <f>B10*$D$3</f>
        <v>87600</v>
      </c>
      <c r="E10" s="22" cm="1">
        <f t="array" ref="E10">_xlfn.XLOOKUP(A10,TRIM($K$15:$K$17),$M$15:$M$17)</f>
        <v>87600</v>
      </c>
      <c r="F10" s="11">
        <f>D10*$D$4</f>
        <v>438000</v>
      </c>
      <c r="G10" s="11" cm="1">
        <f t="array" ref="G10">_xlfn.XLOOKUP(A10,TRIM($K$15:$K$17),$N$15:$N$17)</f>
        <v>438000</v>
      </c>
      <c r="H10" s="7">
        <f t="shared" ref="H10:H11" si="1">F10-$D$5</f>
        <v>383000</v>
      </c>
      <c r="I10" s="7" cm="1">
        <f t="array" ref="I10">_xlfn.XLOOKUP(A10,TRIM($K$15:$K$17),$O$15:$O$17)</f>
        <v>383000</v>
      </c>
      <c r="K10" t="s">
        <v>33</v>
      </c>
      <c r="L10">
        <v>6274</v>
      </c>
      <c r="M10">
        <v>3.1</v>
      </c>
    </row>
    <row r="11" spans="1:15" x14ac:dyDescent="0.2">
      <c r="A11" s="4" t="s">
        <v>33</v>
      </c>
      <c r="B11" s="22">
        <f t="shared" si="0"/>
        <v>3100000</v>
      </c>
      <c r="C11" s="22" cm="1">
        <f t="array" ref="C11">_xlfn.XLOOKUP(A11,_xlfn.ANCHORARRAY($K$21),$L$21:$L$23)</f>
        <v>3100000</v>
      </c>
      <c r="D11" s="7">
        <f>B11*$D$3</f>
        <v>62000</v>
      </c>
      <c r="E11" s="22" cm="1">
        <f t="array" ref="E11">_xlfn.XLOOKUP(A11,TRIM($K$15:$K$17),$M$15:$M$17)</f>
        <v>62000</v>
      </c>
      <c r="F11" s="11">
        <f>D11*$D$4</f>
        <v>310000</v>
      </c>
      <c r="G11" s="11" cm="1">
        <f t="array" ref="G11">_xlfn.XLOOKUP(A11,TRIM($K$15:$K$17),$N$15:$N$17)</f>
        <v>310000</v>
      </c>
      <c r="H11" s="7">
        <f>F11-$D$5</f>
        <v>255000</v>
      </c>
      <c r="I11" s="7" cm="1">
        <f t="array" ref="I11">_xlfn.XLOOKUP(A11,TRIM($K$15:$K$17),$O$15:$O$17)</f>
        <v>255000</v>
      </c>
    </row>
    <row r="13" spans="1:15" x14ac:dyDescent="0.2">
      <c r="A13" s="16" t="s">
        <v>9</v>
      </c>
      <c r="K13" s="28" t="s">
        <v>31</v>
      </c>
    </row>
    <row r="14" spans="1:15" x14ac:dyDescent="0.2">
      <c r="A14" s="14" t="s">
        <v>1</v>
      </c>
      <c r="B14" s="5" t="s">
        <v>30</v>
      </c>
      <c r="C14" s="5"/>
      <c r="D14" s="5" t="s">
        <v>4</v>
      </c>
      <c r="E14" s="5"/>
      <c r="F14" s="5" t="s">
        <v>5</v>
      </c>
      <c r="G14" s="5"/>
      <c r="H14" s="5" t="s">
        <v>6</v>
      </c>
      <c r="I14" s="5"/>
      <c r="K14" t="s">
        <v>21</v>
      </c>
      <c r="L14" t="s">
        <v>22</v>
      </c>
      <c r="M14" t="s">
        <v>23</v>
      </c>
      <c r="N14" t="s">
        <v>24</v>
      </c>
      <c r="O14" t="s">
        <v>25</v>
      </c>
    </row>
    <row r="15" spans="1:15" x14ac:dyDescent="0.2">
      <c r="A15" s="15"/>
      <c r="B15" s="5"/>
      <c r="C15" s="5"/>
      <c r="D15" s="5"/>
      <c r="E15" s="5"/>
      <c r="F15" s="5"/>
      <c r="G15" s="5"/>
      <c r="H15" s="5"/>
      <c r="I15" s="5"/>
      <c r="K15" t="s">
        <v>39</v>
      </c>
      <c r="L15">
        <v>4380000</v>
      </c>
      <c r="M15">
        <v>87600</v>
      </c>
      <c r="N15">
        <v>438000</v>
      </c>
      <c r="O15">
        <v>383000</v>
      </c>
    </row>
    <row r="16" spans="1:15" x14ac:dyDescent="0.2">
      <c r="A16" s="4" t="s">
        <v>32</v>
      </c>
      <c r="B16" s="20">
        <f>B9-C9</f>
        <v>0</v>
      </c>
      <c r="C16" s="21"/>
      <c r="D16" s="20">
        <f>D9-E9</f>
        <v>0</v>
      </c>
      <c r="E16" s="21"/>
      <c r="F16" s="20">
        <f>F9-G9</f>
        <v>0</v>
      </c>
      <c r="G16" s="21"/>
      <c r="H16" s="20">
        <f>H9-I9</f>
        <v>0</v>
      </c>
      <c r="I16" s="21"/>
      <c r="K16" t="s">
        <v>34</v>
      </c>
      <c r="L16">
        <v>3100000</v>
      </c>
      <c r="M16">
        <v>62000</v>
      </c>
      <c r="N16">
        <v>310000</v>
      </c>
      <c r="O16">
        <v>255000</v>
      </c>
    </row>
    <row r="17" spans="1:15" x14ac:dyDescent="0.2">
      <c r="A17" s="4" t="s">
        <v>38</v>
      </c>
      <c r="B17" s="20">
        <f t="shared" ref="B17:D18" si="2">B10-C10</f>
        <v>0</v>
      </c>
      <c r="C17" s="21"/>
      <c r="D17" s="20">
        <f t="shared" si="2"/>
        <v>0</v>
      </c>
      <c r="E17" s="21"/>
      <c r="F17" s="20">
        <f t="shared" ref="F17:F18" si="3">F10-G10</f>
        <v>0</v>
      </c>
      <c r="G17" s="21"/>
      <c r="H17" s="20">
        <f>H10-I10</f>
        <v>0</v>
      </c>
      <c r="I17" s="21"/>
      <c r="K17" t="s">
        <v>35</v>
      </c>
      <c r="L17">
        <v>1860000</v>
      </c>
      <c r="M17">
        <v>37200</v>
      </c>
      <c r="N17">
        <v>186000</v>
      </c>
      <c r="O17">
        <v>131000</v>
      </c>
    </row>
    <row r="18" spans="1:15" x14ac:dyDescent="0.2">
      <c r="A18" s="4" t="s">
        <v>33</v>
      </c>
      <c r="B18" s="20">
        <f t="shared" si="2"/>
        <v>0</v>
      </c>
      <c r="C18" s="21"/>
      <c r="D18" s="20">
        <f t="shared" si="2"/>
        <v>0</v>
      </c>
      <c r="E18" s="21"/>
      <c r="F18" s="20">
        <f t="shared" si="3"/>
        <v>0</v>
      </c>
      <c r="G18" s="21"/>
      <c r="H18" s="20">
        <f>H11-I11</f>
        <v>0</v>
      </c>
      <c r="I18" s="21"/>
    </row>
    <row r="20" spans="1:15" x14ac:dyDescent="0.2">
      <c r="K20" s="28" t="s">
        <v>44</v>
      </c>
      <c r="L20" t="s">
        <v>22</v>
      </c>
      <c r="M20" t="s">
        <v>23</v>
      </c>
      <c r="N20" t="s">
        <v>24</v>
      </c>
      <c r="O20" t="s">
        <v>25</v>
      </c>
    </row>
    <row r="21" spans="1:15" x14ac:dyDescent="0.2">
      <c r="K21" t="str" cm="1">
        <f t="array" ref="K21:K23">TRIM(K15:K17)</f>
        <v>Ishtar Music</v>
      </c>
      <c r="L21">
        <v>4380000</v>
      </c>
      <c r="M21">
        <v>87600</v>
      </c>
      <c r="N21">
        <v>438000</v>
      </c>
      <c r="O21">
        <v>383000</v>
      </c>
    </row>
    <row r="22" spans="1:15" x14ac:dyDescent="0.2">
      <c r="K22" t="str">
        <v>Felipe Neto</v>
      </c>
      <c r="L22">
        <v>3100000</v>
      </c>
      <c r="M22">
        <v>62000</v>
      </c>
      <c r="N22">
        <v>310000</v>
      </c>
      <c r="O22">
        <v>255000</v>
      </c>
    </row>
    <row r="23" spans="1:15" x14ac:dyDescent="0.2">
      <c r="K23" t="str">
        <v>VEGETTA777</v>
      </c>
      <c r="L23">
        <v>1860000</v>
      </c>
      <c r="M23">
        <v>37200</v>
      </c>
      <c r="N23">
        <v>186000</v>
      </c>
      <c r="O23">
        <v>131000</v>
      </c>
    </row>
    <row r="24" spans="1:15" ht="22.5" customHeight="1" x14ac:dyDescent="0.2">
      <c r="A24" s="1" t="s">
        <v>66</v>
      </c>
    </row>
    <row r="25" spans="1:15" ht="145.5" customHeight="1" x14ac:dyDescent="0.2">
      <c r="A25" s="29" t="s">
        <v>69</v>
      </c>
      <c r="B25" s="29"/>
      <c r="C25" s="29"/>
    </row>
  </sheetData>
  <mergeCells count="24">
    <mergeCell ref="A25:C25"/>
    <mergeCell ref="B17:C17"/>
    <mergeCell ref="D17:E17"/>
    <mergeCell ref="F17:G17"/>
    <mergeCell ref="H17:I17"/>
    <mergeCell ref="B18:C18"/>
    <mergeCell ref="D18:E18"/>
    <mergeCell ref="F18:G18"/>
    <mergeCell ref="H18:I18"/>
    <mergeCell ref="A14:A15"/>
    <mergeCell ref="B14:C15"/>
    <mergeCell ref="D14:E15"/>
    <mergeCell ref="F14:G15"/>
    <mergeCell ref="H14:I15"/>
    <mergeCell ref="B16:C16"/>
    <mergeCell ref="D16:E16"/>
    <mergeCell ref="F16:G16"/>
    <mergeCell ref="H16:I16"/>
    <mergeCell ref="A1:A2"/>
    <mergeCell ref="A7:A8"/>
    <mergeCell ref="B7:C7"/>
    <mergeCell ref="D7:E7"/>
    <mergeCell ref="F7:G7"/>
    <mergeCell ref="H7:I7"/>
  </mergeCells>
  <conditionalFormatting sqref="B16:I18">
    <cfRule type="cellIs" dxfId="23" priority="2" operator="notEqual">
      <formula>0</formula>
    </cfRule>
  </conditionalFormatting>
  <conditionalFormatting sqref="H9:I11">
    <cfRule type="top10" dxfId="22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E568-EF74-46D7-B046-38F7F2E7959B}">
  <sheetPr>
    <pageSetUpPr autoPageBreaks="0"/>
  </sheetPr>
  <dimension ref="A1:O25"/>
  <sheetViews>
    <sheetView topLeftCell="A7" zoomScale="85" zoomScaleNormal="85" workbookViewId="0">
      <selection activeCell="A25" sqref="A25:C25"/>
    </sheetView>
  </sheetViews>
  <sheetFormatPr defaultRowHeight="14.25" x14ac:dyDescent="0.2"/>
  <cols>
    <col min="1" max="1" width="36.125" customWidth="1"/>
    <col min="2" max="2" width="18" customWidth="1"/>
    <col min="3" max="3" width="21.25" customWidth="1"/>
    <col min="4" max="4" width="25" customWidth="1"/>
    <col min="5" max="5" width="17.625" customWidth="1"/>
    <col min="6" max="6" width="13.625" customWidth="1"/>
    <col min="7" max="7" width="13.375" customWidth="1"/>
    <col min="8" max="8" width="19.875" customWidth="1"/>
    <col min="9" max="9" width="11.25" customWidth="1"/>
    <col min="10" max="10" width="20.625" customWidth="1"/>
    <col min="11" max="11" width="21.625" customWidth="1"/>
    <col min="12" max="12" width="12.25" customWidth="1"/>
    <col min="13" max="13" width="19.875" customWidth="1"/>
  </cols>
  <sheetData>
    <row r="1" spans="1:15" x14ac:dyDescent="0.2">
      <c r="A1" s="8" t="s">
        <v>47</v>
      </c>
    </row>
    <row r="2" spans="1:15" x14ac:dyDescent="0.2">
      <c r="A2" s="8"/>
      <c r="C2" s="23" t="s">
        <v>11</v>
      </c>
      <c r="D2" s="24" t="s">
        <v>14</v>
      </c>
      <c r="E2" s="26"/>
      <c r="F2" s="27" t="s">
        <v>26</v>
      </c>
      <c r="G2" s="6">
        <f>1000000</f>
        <v>1000000</v>
      </c>
    </row>
    <row r="3" spans="1:15" x14ac:dyDescent="0.2">
      <c r="C3" s="10" t="s">
        <v>7</v>
      </c>
      <c r="D3" s="4">
        <v>0.02</v>
      </c>
    </row>
    <row r="4" spans="1:15" x14ac:dyDescent="0.2">
      <c r="C4" s="10" t="s">
        <v>8</v>
      </c>
      <c r="D4" s="4">
        <v>5</v>
      </c>
    </row>
    <row r="5" spans="1:15" x14ac:dyDescent="0.2">
      <c r="C5" s="10" t="s">
        <v>10</v>
      </c>
      <c r="D5" s="7">
        <v>50000</v>
      </c>
      <c r="E5" t="s">
        <v>12</v>
      </c>
    </row>
    <row r="6" spans="1:15" x14ac:dyDescent="0.2">
      <c r="A6" s="9" t="s">
        <v>0</v>
      </c>
      <c r="K6" s="28" t="s">
        <v>29</v>
      </c>
    </row>
    <row r="7" spans="1:15" x14ac:dyDescent="0.2">
      <c r="A7" s="14" t="s">
        <v>1</v>
      </c>
      <c r="B7" s="12" t="s">
        <v>30</v>
      </c>
      <c r="C7" s="13"/>
      <c r="D7" s="12" t="s">
        <v>4</v>
      </c>
      <c r="E7" s="13"/>
      <c r="F7" s="12" t="s">
        <v>5</v>
      </c>
      <c r="G7" s="13"/>
      <c r="H7" s="12" t="s">
        <v>6</v>
      </c>
      <c r="I7" s="13"/>
      <c r="K7" t="s">
        <v>1</v>
      </c>
      <c r="L7" t="s">
        <v>17</v>
      </c>
      <c r="M7" t="s">
        <v>18</v>
      </c>
    </row>
    <row r="8" spans="1:15" x14ac:dyDescent="0.2">
      <c r="A8" s="15"/>
      <c r="B8" s="2" t="s">
        <v>2</v>
      </c>
      <c r="C8" s="3" t="s">
        <v>3</v>
      </c>
      <c r="D8" s="2" t="s">
        <v>2</v>
      </c>
      <c r="E8" s="3" t="s">
        <v>3</v>
      </c>
      <c r="F8" s="2" t="s">
        <v>2</v>
      </c>
      <c r="G8" s="3" t="s">
        <v>3</v>
      </c>
      <c r="H8" s="2" t="s">
        <v>2</v>
      </c>
      <c r="I8" s="3" t="s">
        <v>3</v>
      </c>
      <c r="K8" t="s">
        <v>37</v>
      </c>
      <c r="L8">
        <v>123.9</v>
      </c>
      <c r="M8">
        <v>77</v>
      </c>
    </row>
    <row r="9" spans="1:15" x14ac:dyDescent="0.2">
      <c r="A9" s="4" t="s">
        <v>37</v>
      </c>
      <c r="B9" s="22">
        <f>M8*$G$2</f>
        <v>77000000</v>
      </c>
      <c r="C9" s="22" cm="1">
        <f t="array" ref="C9">_xlfn.XLOOKUP('total views analysis '!A9,_xlfn.ANCHORARRAY($K$21),$L$21:$L$23)</f>
        <v>77000000</v>
      </c>
      <c r="D9" s="7">
        <f>B9*$D$3</f>
        <v>1540000</v>
      </c>
      <c r="E9" s="22" cm="1">
        <f t="array" ref="E9">_xlfn.XLOOKUP(A9,TRIM($K$15:$K$17),$M$15:$M$17)</f>
        <v>1540000</v>
      </c>
      <c r="F9" s="11">
        <f>D9*$D$4</f>
        <v>7700000</v>
      </c>
      <c r="G9" s="11" cm="1">
        <f t="array" ref="G9">_xlfn.XLOOKUP(A9,TRIM($K$15:$K$17),$N$15:$N$17)</f>
        <v>7700000</v>
      </c>
      <c r="H9" s="7">
        <f>F9-$D$5</f>
        <v>7650000</v>
      </c>
      <c r="I9" s="7" cm="1">
        <f t="array" ref="I9">_xlfn.XLOOKUP(A9,TRIM($K$15:$K$17),$O$15:$O$17)</f>
        <v>7650000</v>
      </c>
      <c r="K9" t="s">
        <v>36</v>
      </c>
      <c r="L9">
        <v>120.59</v>
      </c>
      <c r="M9">
        <v>119.04</v>
      </c>
    </row>
    <row r="10" spans="1:15" x14ac:dyDescent="0.2">
      <c r="A10" s="4" t="s">
        <v>36</v>
      </c>
      <c r="B10" s="22">
        <f t="shared" ref="B10:B11" si="0">M9*$G$2</f>
        <v>119040000</v>
      </c>
      <c r="C10" s="22" cm="1">
        <f t="array" ref="C10">_xlfn.XLOOKUP(A10,_xlfn.ANCHORARRAY($K$21),$L$21:$L$23)</f>
        <v>119040000</v>
      </c>
      <c r="D10" s="7">
        <f>B10*$D$3</f>
        <v>2380800</v>
      </c>
      <c r="E10" s="22" cm="1">
        <f t="array" ref="E10">_xlfn.XLOOKUP(A10,TRIM($K$15:$K$17),$M$15:$M$17)</f>
        <v>2380800</v>
      </c>
      <c r="F10" s="11">
        <f>D10*$D$4</f>
        <v>11904000</v>
      </c>
      <c r="G10" s="11" cm="1">
        <f t="array" ref="G10">_xlfn.XLOOKUP(A10,TRIM($K$15:$K$17),$N$15:$N$17)</f>
        <v>11904000</v>
      </c>
      <c r="H10" s="7">
        <f t="shared" ref="H10:H11" si="1">F10-$D$5</f>
        <v>11854000</v>
      </c>
      <c r="I10" s="7" cm="1">
        <f t="array" ref="I10">_xlfn.XLOOKUP(A10,TRIM($K$15:$K$17),$O$15:$O$17)</f>
        <v>11854000</v>
      </c>
      <c r="K10" t="s">
        <v>40</v>
      </c>
      <c r="L10">
        <v>120.33</v>
      </c>
      <c r="M10">
        <v>112.99</v>
      </c>
    </row>
    <row r="11" spans="1:15" x14ac:dyDescent="0.2">
      <c r="A11" s="4" t="s">
        <v>40</v>
      </c>
      <c r="B11" s="22">
        <f t="shared" si="0"/>
        <v>112990000</v>
      </c>
      <c r="C11" s="22" cm="1">
        <f t="array" ref="C11">_xlfn.XLOOKUP(A11,_xlfn.ANCHORARRAY($K$21),$L$21:$L$23)</f>
        <v>112990000</v>
      </c>
      <c r="D11" s="7">
        <f>B11*$D$3</f>
        <v>2259800</v>
      </c>
      <c r="E11" s="22" cm="1">
        <f t="array" ref="E11">_xlfn.XLOOKUP(A11,TRIM($K$15:$K$17),$M$15:$M$17)</f>
        <v>2259800</v>
      </c>
      <c r="F11" s="11">
        <f>D11*$D$4</f>
        <v>11299000</v>
      </c>
      <c r="G11" s="11" cm="1">
        <f t="array" ref="G11">_xlfn.XLOOKUP(A11,TRIM($K$15:$K$17),$N$15:$N$17)</f>
        <v>11299000</v>
      </c>
      <c r="H11" s="7">
        <f>F11-$D$5</f>
        <v>11249000</v>
      </c>
      <c r="I11" s="7" cm="1">
        <f t="array" ref="I11">_xlfn.XLOOKUP(A11,TRIM($K$15:$K$17),$O$15:$O$17)</f>
        <v>11249000</v>
      </c>
    </row>
    <row r="13" spans="1:15" x14ac:dyDescent="0.2">
      <c r="A13" s="16" t="s">
        <v>9</v>
      </c>
      <c r="K13" s="28" t="s">
        <v>31</v>
      </c>
    </row>
    <row r="14" spans="1:15" x14ac:dyDescent="0.2">
      <c r="A14" s="14" t="s">
        <v>1</v>
      </c>
      <c r="B14" s="5" t="s">
        <v>30</v>
      </c>
      <c r="C14" s="5"/>
      <c r="D14" s="5" t="s">
        <v>4</v>
      </c>
      <c r="E14" s="5"/>
      <c r="F14" s="5" t="s">
        <v>5</v>
      </c>
      <c r="G14" s="5"/>
      <c r="H14" s="5" t="s">
        <v>6</v>
      </c>
      <c r="I14" s="5"/>
      <c r="K14" t="s">
        <v>21</v>
      </c>
      <c r="L14" t="s">
        <v>22</v>
      </c>
      <c r="M14" t="s">
        <v>23</v>
      </c>
      <c r="N14" t="s">
        <v>24</v>
      </c>
      <c r="O14" t="s">
        <v>25</v>
      </c>
    </row>
    <row r="15" spans="1:15" x14ac:dyDescent="0.2">
      <c r="A15" s="15"/>
      <c r="B15" s="5"/>
      <c r="C15" s="5"/>
      <c r="D15" s="5"/>
      <c r="E15" s="5"/>
      <c r="F15" s="5"/>
      <c r="G15" s="5"/>
      <c r="H15" s="5"/>
      <c r="I15" s="5"/>
      <c r="K15" t="s">
        <v>41</v>
      </c>
      <c r="L15">
        <v>119040000</v>
      </c>
      <c r="M15">
        <v>2380800</v>
      </c>
      <c r="N15">
        <v>11904000</v>
      </c>
      <c r="O15">
        <v>11854000</v>
      </c>
    </row>
    <row r="16" spans="1:15" x14ac:dyDescent="0.2">
      <c r="A16" s="4" t="s">
        <v>37</v>
      </c>
      <c r="B16" s="20">
        <f>B9-C9</f>
        <v>0</v>
      </c>
      <c r="C16" s="21"/>
      <c r="D16" s="20">
        <f>D9-E9</f>
        <v>0</v>
      </c>
      <c r="E16" s="21"/>
      <c r="F16" s="20">
        <f>F9-G9</f>
        <v>0</v>
      </c>
      <c r="G16" s="21"/>
      <c r="H16" s="20">
        <f>H9-I9</f>
        <v>0</v>
      </c>
      <c r="I16" s="21"/>
      <c r="K16" t="s">
        <v>42</v>
      </c>
      <c r="L16">
        <v>112990000</v>
      </c>
      <c r="M16">
        <v>2259800</v>
      </c>
      <c r="N16">
        <v>11299000</v>
      </c>
      <c r="O16">
        <v>11249000</v>
      </c>
    </row>
    <row r="17" spans="1:15" x14ac:dyDescent="0.2">
      <c r="A17" s="4" t="s">
        <v>36</v>
      </c>
      <c r="B17" s="20">
        <f t="shared" ref="B17:D18" si="2">B10-C10</f>
        <v>0</v>
      </c>
      <c r="C17" s="21"/>
      <c r="D17" s="20">
        <f t="shared" si="2"/>
        <v>0</v>
      </c>
      <c r="E17" s="21"/>
      <c r="F17" s="20">
        <f t="shared" ref="F17:F18" si="3">F10-G10</f>
        <v>0</v>
      </c>
      <c r="G17" s="21"/>
      <c r="H17" s="20">
        <f>H10-I10</f>
        <v>0</v>
      </c>
      <c r="I17" s="21"/>
      <c r="K17" t="s">
        <v>43</v>
      </c>
      <c r="L17">
        <v>77000000</v>
      </c>
      <c r="M17">
        <v>1540000</v>
      </c>
      <c r="N17">
        <v>7700000</v>
      </c>
      <c r="O17">
        <v>7650000</v>
      </c>
    </row>
    <row r="18" spans="1:15" x14ac:dyDescent="0.2">
      <c r="A18" s="4" t="s">
        <v>40</v>
      </c>
      <c r="B18" s="20">
        <f t="shared" si="2"/>
        <v>0</v>
      </c>
      <c r="C18" s="21"/>
      <c r="D18" s="20">
        <f t="shared" si="2"/>
        <v>0</v>
      </c>
      <c r="E18" s="21"/>
      <c r="F18" s="20">
        <f t="shared" si="3"/>
        <v>0</v>
      </c>
      <c r="G18" s="21"/>
      <c r="H18" s="20">
        <f>H11-I11</f>
        <v>0</v>
      </c>
      <c r="I18" s="21"/>
    </row>
    <row r="20" spans="1:15" x14ac:dyDescent="0.2">
      <c r="K20" s="28" t="s">
        <v>44</v>
      </c>
      <c r="L20" t="s">
        <v>22</v>
      </c>
      <c r="M20" t="s">
        <v>23</v>
      </c>
      <c r="N20" t="s">
        <v>24</v>
      </c>
      <c r="O20" t="s">
        <v>25</v>
      </c>
    </row>
    <row r="21" spans="1:15" x14ac:dyDescent="0.2">
      <c r="K21" t="str" cm="1">
        <f t="array" ref="K21:K23">TRIM(K15:K17)</f>
        <v>Vlad and Niki</v>
      </c>
      <c r="L21">
        <v>119040000</v>
      </c>
      <c r="M21">
        <v>2380800</v>
      </c>
      <c r="N21">
        <v>11904000</v>
      </c>
      <c r="O21">
        <v>11774000</v>
      </c>
    </row>
    <row r="22" spans="1:15" x14ac:dyDescent="0.2">
      <c r="K22" t="str">
        <v>Like Nastya</v>
      </c>
      <c r="L22">
        <v>112990000</v>
      </c>
      <c r="M22">
        <v>2259800</v>
      </c>
      <c r="N22">
        <v>11299000</v>
      </c>
      <c r="O22">
        <v>11169000</v>
      </c>
    </row>
    <row r="23" spans="1:15" x14ac:dyDescent="0.2">
      <c r="K23" t="str">
        <v>✿ Kids Diana Show</v>
      </c>
      <c r="L23">
        <v>77000000</v>
      </c>
      <c r="M23">
        <v>1540000</v>
      </c>
      <c r="N23">
        <v>7700000</v>
      </c>
      <c r="O23">
        <v>7570000</v>
      </c>
    </row>
    <row r="24" spans="1:15" x14ac:dyDescent="0.2">
      <c r="A24" s="1" t="s">
        <v>66</v>
      </c>
    </row>
    <row r="25" spans="1:15" ht="128.25" customHeight="1" x14ac:dyDescent="0.2">
      <c r="A25" s="29" t="s">
        <v>70</v>
      </c>
      <c r="B25" s="29"/>
      <c r="C25" s="29"/>
    </row>
  </sheetData>
  <mergeCells count="24">
    <mergeCell ref="A25:C25"/>
    <mergeCell ref="B17:C17"/>
    <mergeCell ref="D17:E17"/>
    <mergeCell ref="F17:G17"/>
    <mergeCell ref="H17:I17"/>
    <mergeCell ref="B18:C18"/>
    <mergeCell ref="D18:E18"/>
    <mergeCell ref="F18:G18"/>
    <mergeCell ref="H18:I18"/>
    <mergeCell ref="A14:A15"/>
    <mergeCell ref="B14:C15"/>
    <mergeCell ref="D14:E15"/>
    <mergeCell ref="F14:G15"/>
    <mergeCell ref="H14:I15"/>
    <mergeCell ref="B16:C16"/>
    <mergeCell ref="D16:E16"/>
    <mergeCell ref="F16:G16"/>
    <mergeCell ref="H16:I16"/>
    <mergeCell ref="A1:A2"/>
    <mergeCell ref="A7:A8"/>
    <mergeCell ref="B7:C7"/>
    <mergeCell ref="D7:E7"/>
    <mergeCell ref="F7:G7"/>
    <mergeCell ref="H7:I7"/>
  </mergeCells>
  <conditionalFormatting sqref="B16:I18">
    <cfRule type="cellIs" dxfId="21" priority="2" operator="notEqual">
      <formula>0</formula>
    </cfRule>
  </conditionalFormatting>
  <conditionalFormatting sqref="H9:I11">
    <cfRule type="top10" dxfId="20" priority="1" rank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C813-B55A-4DA0-95C4-0194AC4D1981}">
  <dimension ref="A1:O25"/>
  <sheetViews>
    <sheetView tabSelected="1" topLeftCell="A10" zoomScale="85" zoomScaleNormal="85" workbookViewId="0">
      <selection activeCell="E25" sqref="E25"/>
    </sheetView>
  </sheetViews>
  <sheetFormatPr defaultRowHeight="14.25" x14ac:dyDescent="0.2"/>
  <cols>
    <col min="1" max="1" width="36.125" customWidth="1"/>
    <col min="2" max="2" width="18" customWidth="1"/>
    <col min="3" max="3" width="21.5" customWidth="1"/>
    <col min="4" max="4" width="25" customWidth="1"/>
    <col min="5" max="5" width="17.625" customWidth="1"/>
    <col min="6" max="6" width="13.625" customWidth="1"/>
    <col min="7" max="7" width="13.375" customWidth="1"/>
    <col min="8" max="8" width="19.875" customWidth="1"/>
    <col min="9" max="9" width="11.25" customWidth="1"/>
    <col min="10" max="10" width="20.625" customWidth="1"/>
    <col min="11" max="11" width="21.625" customWidth="1"/>
    <col min="12" max="12" width="12.25" customWidth="1"/>
    <col min="13" max="13" width="19.875" customWidth="1"/>
  </cols>
  <sheetData>
    <row r="1" spans="1:15" x14ac:dyDescent="0.2">
      <c r="A1" s="8" t="s">
        <v>56</v>
      </c>
    </row>
    <row r="2" spans="1:15" x14ac:dyDescent="0.2">
      <c r="A2" s="8"/>
      <c r="C2" s="23" t="s">
        <v>11</v>
      </c>
      <c r="D2" s="24" t="s">
        <v>46</v>
      </c>
      <c r="E2" s="26" t="s">
        <v>45</v>
      </c>
      <c r="F2" s="27" t="s">
        <v>26</v>
      </c>
      <c r="G2" s="6">
        <f>1000000</f>
        <v>1000000</v>
      </c>
    </row>
    <row r="3" spans="1:15" x14ac:dyDescent="0.2">
      <c r="C3" s="10" t="s">
        <v>7</v>
      </c>
      <c r="D3" s="4">
        <v>0.02</v>
      </c>
    </row>
    <row r="4" spans="1:15" x14ac:dyDescent="0.2">
      <c r="C4" s="10" t="s">
        <v>8</v>
      </c>
      <c r="D4" s="4">
        <v>5</v>
      </c>
    </row>
    <row r="5" spans="1:15" x14ac:dyDescent="0.2">
      <c r="C5" s="10" t="s">
        <v>10</v>
      </c>
      <c r="D5" s="7">
        <v>55000</v>
      </c>
    </row>
    <row r="6" spans="1:15" x14ac:dyDescent="0.2">
      <c r="A6" s="9" t="s">
        <v>0</v>
      </c>
      <c r="K6" s="28" t="s">
        <v>29</v>
      </c>
    </row>
    <row r="7" spans="1:15" x14ac:dyDescent="0.2">
      <c r="A7" s="14" t="s">
        <v>1</v>
      </c>
      <c r="B7" s="12" t="s">
        <v>30</v>
      </c>
      <c r="C7" s="13"/>
      <c r="D7" s="12" t="s">
        <v>4</v>
      </c>
      <c r="E7" s="13"/>
      <c r="F7" s="12" t="s">
        <v>5</v>
      </c>
      <c r="G7" s="13"/>
      <c r="H7" s="12" t="s">
        <v>6</v>
      </c>
      <c r="I7" s="13"/>
      <c r="K7" t="s">
        <v>1</v>
      </c>
      <c r="L7" t="s">
        <v>18</v>
      </c>
    </row>
    <row r="8" spans="1:15" x14ac:dyDescent="0.2">
      <c r="A8" s="15"/>
      <c r="B8" s="2" t="s">
        <v>2</v>
      </c>
      <c r="C8" s="3" t="s">
        <v>3</v>
      </c>
      <c r="D8" s="2" t="s">
        <v>2</v>
      </c>
      <c r="E8" s="3" t="s">
        <v>3</v>
      </c>
      <c r="F8" s="2" t="s">
        <v>2</v>
      </c>
      <c r="G8" s="3" t="s">
        <v>3</v>
      </c>
      <c r="H8" s="2" t="s">
        <v>2</v>
      </c>
      <c r="I8" s="3" t="s">
        <v>3</v>
      </c>
      <c r="K8" t="s">
        <v>49</v>
      </c>
      <c r="L8">
        <v>247.68</v>
      </c>
    </row>
    <row r="9" spans="1:15" x14ac:dyDescent="0.2">
      <c r="A9" s="4" t="s">
        <v>49</v>
      </c>
      <c r="B9" s="22">
        <f>L8*$G$2</f>
        <v>247680000</v>
      </c>
      <c r="C9" s="22" cm="1">
        <f t="array" ref="C9">_xlfn.XLOOKUP(A9,_xlfn.ANCHORARRAY($K$21),$L$21:$L$23)</f>
        <v>247680000</v>
      </c>
      <c r="D9" s="7">
        <f>B9*$D$3</f>
        <v>4953600</v>
      </c>
      <c r="E9" s="22" cm="1">
        <f t="array" ref="E9">_xlfn.XLOOKUP(A9,TRIM($K$15:$K$17),$M$15:$M$17)</f>
        <v>4953600</v>
      </c>
      <c r="F9" s="11">
        <f>D9*$D$4</f>
        <v>24768000</v>
      </c>
      <c r="G9" s="11" cm="1">
        <f t="array" ref="G9">_xlfn.XLOOKUP(A9,TRIM($K$15:$K$17),$N$15:$N$17)</f>
        <v>24768000</v>
      </c>
      <c r="H9" s="7">
        <f>F9-$D$5</f>
        <v>24713000</v>
      </c>
      <c r="I9" s="7" cm="1">
        <f t="array" ref="I9">_xlfn.XLOOKUP(A9,TRIM($K$15:$K$17),$O$15:$O$17)</f>
        <v>24713000</v>
      </c>
      <c r="K9" t="s">
        <v>50</v>
      </c>
      <c r="L9">
        <v>211.42</v>
      </c>
    </row>
    <row r="10" spans="1:15" x14ac:dyDescent="0.2">
      <c r="A10" s="4" t="s">
        <v>50</v>
      </c>
      <c r="B10" s="22">
        <f>L9*$G$2</f>
        <v>211420000</v>
      </c>
      <c r="C10" s="22" cm="1">
        <f t="array" ref="C10">_xlfn.XLOOKUP(A10,_xlfn.ANCHORARRAY($K$21),$L$21:$L$23)</f>
        <v>211420000</v>
      </c>
      <c r="D10" s="7">
        <f>B10*$D$3</f>
        <v>4228400</v>
      </c>
      <c r="E10" s="22" cm="1">
        <f t="array" ref="E10">_xlfn.XLOOKUP(A10,TRIM($K$15:$K$17),$M$15:$M$17)</f>
        <v>4228400</v>
      </c>
      <c r="F10" s="11">
        <f>D10*$D$4</f>
        <v>21142000</v>
      </c>
      <c r="G10" s="11" cm="1">
        <f t="array" ref="G10">_xlfn.XLOOKUP(A10,TRIM($K$15:$K$17),$N$15:$N$17)</f>
        <v>21142000</v>
      </c>
      <c r="H10" s="7">
        <f t="shared" ref="H10:H11" si="0">F10-$D$5</f>
        <v>21087000</v>
      </c>
      <c r="I10" s="7" cm="1">
        <f t="array" ref="I10">_xlfn.XLOOKUP(A10,TRIM($K$15:$K$17),$O$15:$O$17)</f>
        <v>21087000</v>
      </c>
      <c r="K10" t="s">
        <v>51</v>
      </c>
      <c r="L10">
        <v>139.4</v>
      </c>
    </row>
    <row r="11" spans="1:15" x14ac:dyDescent="0.2">
      <c r="A11" s="4" t="s">
        <v>51</v>
      </c>
      <c r="B11" s="22">
        <f t="shared" ref="B10:B11" si="1">L10*$G$2</f>
        <v>139400000</v>
      </c>
      <c r="C11" s="22" cm="1">
        <f t="array" ref="C11">_xlfn.XLOOKUP(A11,_xlfn.ANCHORARRAY($K$21),$L$21:$L$23)</f>
        <v>139400000</v>
      </c>
      <c r="D11" s="7">
        <f>B11*$D$3</f>
        <v>2788000</v>
      </c>
      <c r="E11" s="22" cm="1">
        <f t="array" ref="E11">_xlfn.XLOOKUP(A11,TRIM($K$15:$K$17),$M$15:$M$17)</f>
        <v>2788000</v>
      </c>
      <c r="F11" s="11">
        <f>D11*$D$4</f>
        <v>13940000</v>
      </c>
      <c r="G11" s="11" cm="1">
        <f t="array" ref="G11">_xlfn.XLOOKUP(A11,TRIM($K$15:$K$17),$N$15:$N$17)</f>
        <v>13940000</v>
      </c>
      <c r="H11" s="7">
        <f>F11-$D$5</f>
        <v>13885000</v>
      </c>
      <c r="I11" s="7" cm="1">
        <f t="array" ref="I11">_xlfn.XLOOKUP(A11,TRIM($K$15:$K$17),$O$15:$O$17)</f>
        <v>13885000</v>
      </c>
    </row>
    <row r="13" spans="1:15" x14ac:dyDescent="0.2">
      <c r="A13" s="16" t="s">
        <v>9</v>
      </c>
      <c r="K13" s="28" t="s">
        <v>31</v>
      </c>
    </row>
    <row r="14" spans="1:15" x14ac:dyDescent="0.2">
      <c r="A14" s="14" t="s">
        <v>1</v>
      </c>
      <c r="B14" s="5" t="s">
        <v>30</v>
      </c>
      <c r="C14" s="5"/>
      <c r="D14" s="5" t="s">
        <v>4</v>
      </c>
      <c r="E14" s="5"/>
      <c r="F14" s="5" t="s">
        <v>5</v>
      </c>
      <c r="G14" s="5"/>
      <c r="H14" s="5" t="s">
        <v>6</v>
      </c>
      <c r="I14" s="5"/>
      <c r="K14" t="s">
        <v>21</v>
      </c>
      <c r="L14" t="s">
        <v>22</v>
      </c>
      <c r="M14" t="s">
        <v>23</v>
      </c>
      <c r="N14" t="s">
        <v>24</v>
      </c>
      <c r="O14" t="s">
        <v>25</v>
      </c>
    </row>
    <row r="15" spans="1:15" x14ac:dyDescent="0.2">
      <c r="A15" s="15"/>
      <c r="B15" s="5"/>
      <c r="C15" s="5"/>
      <c r="D15" s="5"/>
      <c r="E15" s="5"/>
      <c r="F15" s="5"/>
      <c r="G15" s="5"/>
      <c r="H15" s="5"/>
      <c r="I15" s="5"/>
      <c r="K15" t="s">
        <v>52</v>
      </c>
      <c r="L15">
        <v>247680000</v>
      </c>
      <c r="M15">
        <v>4953600</v>
      </c>
      <c r="N15">
        <v>24768000</v>
      </c>
      <c r="O15">
        <v>24713000</v>
      </c>
    </row>
    <row r="16" spans="1:15" x14ac:dyDescent="0.2">
      <c r="A16" s="4" t="s">
        <v>49</v>
      </c>
      <c r="B16" s="20">
        <f>B9-C9</f>
        <v>0</v>
      </c>
      <c r="C16" s="21"/>
      <c r="D16" s="20">
        <f>D9-E9</f>
        <v>0</v>
      </c>
      <c r="E16" s="21"/>
      <c r="F16" s="20">
        <f>F9-G9</f>
        <v>0</v>
      </c>
      <c r="G16" s="21"/>
      <c r="H16" s="20">
        <f>H9-I9</f>
        <v>0</v>
      </c>
      <c r="I16" s="21"/>
      <c r="K16" t="s">
        <v>53</v>
      </c>
      <c r="L16">
        <v>211420000</v>
      </c>
      <c r="M16">
        <v>4228400</v>
      </c>
      <c r="N16">
        <v>21142000</v>
      </c>
      <c r="O16">
        <v>21087000</v>
      </c>
    </row>
    <row r="17" spans="1:15" x14ac:dyDescent="0.2">
      <c r="A17" s="4" t="s">
        <v>50</v>
      </c>
      <c r="B17" s="20">
        <f t="shared" ref="B17:D18" si="2">B10-C10</f>
        <v>0</v>
      </c>
      <c r="C17" s="21"/>
      <c r="D17" s="20">
        <f t="shared" si="2"/>
        <v>0</v>
      </c>
      <c r="E17" s="21"/>
      <c r="F17" s="20">
        <f t="shared" ref="F17:F18" si="3">F10-G10</f>
        <v>0</v>
      </c>
      <c r="G17" s="21"/>
      <c r="H17" s="20">
        <f>H10-I10</f>
        <v>0</v>
      </c>
      <c r="I17" s="21"/>
      <c r="K17" t="s">
        <v>54</v>
      </c>
      <c r="L17">
        <v>139400000</v>
      </c>
      <c r="M17">
        <v>2788000</v>
      </c>
      <c r="N17">
        <v>13940000</v>
      </c>
      <c r="O17">
        <v>13885000</v>
      </c>
    </row>
    <row r="18" spans="1:15" x14ac:dyDescent="0.2">
      <c r="A18" s="4" t="s">
        <v>51</v>
      </c>
      <c r="B18" s="20">
        <f t="shared" si="2"/>
        <v>0</v>
      </c>
      <c r="C18" s="21"/>
      <c r="D18" s="20">
        <f t="shared" si="2"/>
        <v>0</v>
      </c>
      <c r="E18" s="21"/>
      <c r="F18" s="20">
        <f t="shared" si="3"/>
        <v>0</v>
      </c>
      <c r="G18" s="21"/>
      <c r="H18" s="20">
        <f>H11-I11</f>
        <v>0</v>
      </c>
      <c r="I18" s="21"/>
    </row>
    <row r="20" spans="1:15" x14ac:dyDescent="0.2">
      <c r="K20" s="28" t="s">
        <v>44</v>
      </c>
      <c r="L20" t="s">
        <v>22</v>
      </c>
      <c r="M20" t="s">
        <v>23</v>
      </c>
      <c r="N20" t="s">
        <v>24</v>
      </c>
      <c r="O20" t="s">
        <v>25</v>
      </c>
    </row>
    <row r="21" spans="1:15" x14ac:dyDescent="0.2">
      <c r="K21" t="str" cm="1">
        <f t="array" ref="K21:K23">TRIM(K15:K17)</f>
        <v>Bad Bunny</v>
      </c>
      <c r="L21">
        <v>247680000</v>
      </c>
      <c r="M21">
        <v>4953600</v>
      </c>
      <c r="N21">
        <v>24768000</v>
      </c>
      <c r="O21">
        <v>24718000</v>
      </c>
    </row>
    <row r="22" spans="1:15" x14ac:dyDescent="0.2">
      <c r="K22" t="str">
        <v>Bruno Mars</v>
      </c>
      <c r="L22">
        <v>211420000</v>
      </c>
      <c r="M22">
        <v>4228400</v>
      </c>
      <c r="N22">
        <v>21142000</v>
      </c>
      <c r="O22">
        <v>21092000</v>
      </c>
    </row>
    <row r="23" spans="1:15" x14ac:dyDescent="0.2">
      <c r="K23" t="str">
        <v>Katy Perry</v>
      </c>
      <c r="L23">
        <v>139400000</v>
      </c>
      <c r="M23">
        <v>2788000</v>
      </c>
      <c r="N23">
        <v>13940000</v>
      </c>
      <c r="O23">
        <v>13890000</v>
      </c>
    </row>
    <row r="24" spans="1:15" x14ac:dyDescent="0.2">
      <c r="A24" s="1" t="s">
        <v>66</v>
      </c>
    </row>
    <row r="25" spans="1:15" ht="86.25" customHeight="1" x14ac:dyDescent="0.2">
      <c r="A25" s="31" t="s">
        <v>72</v>
      </c>
      <c r="B25" s="31"/>
      <c r="C25" s="31"/>
    </row>
  </sheetData>
  <mergeCells count="24">
    <mergeCell ref="A25:C25"/>
    <mergeCell ref="B17:C17"/>
    <mergeCell ref="D17:E17"/>
    <mergeCell ref="F17:G17"/>
    <mergeCell ref="H17:I17"/>
    <mergeCell ref="B18:C18"/>
    <mergeCell ref="D18:E18"/>
    <mergeCell ref="F18:G18"/>
    <mergeCell ref="H18:I18"/>
    <mergeCell ref="A14:A15"/>
    <mergeCell ref="B14:C15"/>
    <mergeCell ref="D14:E15"/>
    <mergeCell ref="F14:G15"/>
    <mergeCell ref="H14:I15"/>
    <mergeCell ref="B16:C16"/>
    <mergeCell ref="D16:E16"/>
    <mergeCell ref="F16:G16"/>
    <mergeCell ref="H16:I16"/>
    <mergeCell ref="A1:A2"/>
    <mergeCell ref="A7:A8"/>
    <mergeCell ref="B7:C7"/>
    <mergeCell ref="D7:E7"/>
    <mergeCell ref="F7:G7"/>
    <mergeCell ref="H7:I7"/>
  </mergeCells>
  <conditionalFormatting sqref="B16:I18">
    <cfRule type="cellIs" dxfId="19" priority="2" operator="notEqual">
      <formula>0</formula>
    </cfRule>
  </conditionalFormatting>
  <conditionalFormatting sqref="H9:I11">
    <cfRule type="top10" dxfId="18" priority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B153-A833-4C49-870C-3E53204E27EF}">
  <dimension ref="A1:O25"/>
  <sheetViews>
    <sheetView topLeftCell="A10" zoomScale="85" zoomScaleNormal="85" workbookViewId="0">
      <selection activeCell="A25" sqref="A25:C25"/>
    </sheetView>
  </sheetViews>
  <sheetFormatPr defaultRowHeight="14.25" x14ac:dyDescent="0.2"/>
  <cols>
    <col min="1" max="1" width="36.125" customWidth="1"/>
    <col min="2" max="2" width="18" customWidth="1"/>
    <col min="3" max="3" width="21.5" customWidth="1"/>
    <col min="4" max="4" width="25" customWidth="1"/>
    <col min="5" max="5" width="17.625" customWidth="1"/>
    <col min="6" max="6" width="13.625" customWidth="1"/>
    <col min="7" max="7" width="13.375" customWidth="1"/>
    <col min="8" max="8" width="19.875" customWidth="1"/>
    <col min="9" max="9" width="11.25" customWidth="1"/>
    <col min="10" max="10" width="20.625" customWidth="1"/>
    <col min="11" max="11" width="21.625" customWidth="1"/>
    <col min="12" max="12" width="24.125" customWidth="1"/>
    <col min="13" max="13" width="19.875" customWidth="1"/>
  </cols>
  <sheetData>
    <row r="1" spans="1:15" x14ac:dyDescent="0.2">
      <c r="A1" s="8" t="s">
        <v>62</v>
      </c>
    </row>
    <row r="2" spans="1:15" x14ac:dyDescent="0.2">
      <c r="A2" s="8"/>
      <c r="C2" s="23" t="s">
        <v>11</v>
      </c>
      <c r="D2" s="24" t="s">
        <v>13</v>
      </c>
      <c r="E2" s="26"/>
      <c r="F2" s="27" t="s">
        <v>26</v>
      </c>
      <c r="G2" s="6">
        <f>1000000</f>
        <v>1000000</v>
      </c>
    </row>
    <row r="3" spans="1:15" x14ac:dyDescent="0.2">
      <c r="C3" s="10" t="s">
        <v>7</v>
      </c>
      <c r="D3" s="4">
        <v>0.02</v>
      </c>
    </row>
    <row r="4" spans="1:15" x14ac:dyDescent="0.2">
      <c r="C4" s="10" t="s">
        <v>8</v>
      </c>
      <c r="D4" s="4">
        <v>5</v>
      </c>
    </row>
    <row r="5" spans="1:15" x14ac:dyDescent="0.2">
      <c r="C5" s="10" t="s">
        <v>10</v>
      </c>
      <c r="D5" s="7">
        <v>130000</v>
      </c>
      <c r="E5" t="s">
        <v>12</v>
      </c>
    </row>
    <row r="6" spans="1:15" x14ac:dyDescent="0.2">
      <c r="A6" s="9" t="s">
        <v>0</v>
      </c>
      <c r="K6" s="28" t="s">
        <v>29</v>
      </c>
    </row>
    <row r="7" spans="1:15" x14ac:dyDescent="0.2">
      <c r="A7" s="14" t="s">
        <v>1</v>
      </c>
      <c r="B7" s="12" t="s">
        <v>30</v>
      </c>
      <c r="C7" s="13"/>
      <c r="D7" s="12" t="s">
        <v>4</v>
      </c>
      <c r="E7" s="13"/>
      <c r="F7" s="12" t="s">
        <v>5</v>
      </c>
      <c r="G7" s="13"/>
      <c r="H7" s="12" t="s">
        <v>6</v>
      </c>
      <c r="I7" s="13"/>
      <c r="K7" t="s">
        <v>1</v>
      </c>
      <c r="L7" t="s">
        <v>28</v>
      </c>
      <c r="M7" t="s">
        <v>18</v>
      </c>
    </row>
    <row r="8" spans="1:15" x14ac:dyDescent="0.2">
      <c r="A8" s="15"/>
      <c r="B8" s="2" t="s">
        <v>2</v>
      </c>
      <c r="C8" s="3" t="s">
        <v>3</v>
      </c>
      <c r="D8" s="2" t="s">
        <v>2</v>
      </c>
      <c r="E8" s="3" t="s">
        <v>3</v>
      </c>
      <c r="F8" s="2" t="s">
        <v>2</v>
      </c>
      <c r="G8" s="3" t="s">
        <v>3</v>
      </c>
      <c r="H8" s="2" t="s">
        <v>2</v>
      </c>
      <c r="I8" s="3" t="s">
        <v>3</v>
      </c>
      <c r="K8" t="s">
        <v>59</v>
      </c>
      <c r="L8" s="25">
        <v>1571.42</v>
      </c>
      <c r="M8">
        <v>17.2</v>
      </c>
    </row>
    <row r="9" spans="1:15" x14ac:dyDescent="0.2">
      <c r="A9" s="4" t="s">
        <v>59</v>
      </c>
      <c r="B9" s="22">
        <f>M8*$G$2</f>
        <v>17200000</v>
      </c>
      <c r="C9" s="22" cm="1">
        <f t="array" ref="C9">_xlfn.XLOOKUP('avg views per sub analysis'!A9,_xlfn.ANCHORARRAY($K$21),$L$21:$L$23)</f>
        <v>17200000</v>
      </c>
      <c r="D9" s="7">
        <f>B9*$D$3</f>
        <v>344000</v>
      </c>
      <c r="E9" s="22" cm="1">
        <f t="array" ref="E9">_xlfn.XLOOKUP(A9,TRIM($K$15:$K$17),$M$15:$M$17)</f>
        <v>344000</v>
      </c>
      <c r="F9" s="11">
        <f>D9*$D$4</f>
        <v>1720000</v>
      </c>
      <c r="G9" s="11" cm="1">
        <f t="array" ref="G9">_xlfn.XLOOKUP(A9,TRIM($K$15:$K$17),$N$15:$N$17)</f>
        <v>1720000</v>
      </c>
      <c r="H9" s="7">
        <f>F9-$D$5</f>
        <v>1590000</v>
      </c>
      <c r="I9" s="7" cm="1">
        <f t="array" ref="I9">_xlfn.XLOOKUP(A9,TRIM($K$15:$K$17),$O$15:$O$17)</f>
        <v>1590000</v>
      </c>
      <c r="K9" t="s">
        <v>60</v>
      </c>
      <c r="L9" s="25">
        <v>1430.95</v>
      </c>
      <c r="M9">
        <v>65.040000000000006</v>
      </c>
    </row>
    <row r="10" spans="1:15" x14ac:dyDescent="0.2">
      <c r="A10" s="4" t="s">
        <v>60</v>
      </c>
      <c r="B10" s="22">
        <f t="shared" ref="B10:B11" si="0">M9*$G$2</f>
        <v>65040000.000000007</v>
      </c>
      <c r="C10" s="22" cm="1">
        <f t="array" ref="C10">_xlfn.XLOOKUP(A10,_xlfn.ANCHORARRAY($K$21),$L$21:$L$23)</f>
        <v>65040000</v>
      </c>
      <c r="D10" s="7">
        <f>B10*$D$3</f>
        <v>1300800.0000000002</v>
      </c>
      <c r="E10" s="22" cm="1">
        <f t="array" ref="E10">_xlfn.XLOOKUP(A10,TRIM($K$15:$K$17),$M$15:$M$17)</f>
        <v>1300800</v>
      </c>
      <c r="F10" s="11">
        <f>D10*$D$4</f>
        <v>6504000.0000000009</v>
      </c>
      <c r="G10" s="11" cm="1">
        <f t="array" ref="G10">_xlfn.XLOOKUP(A10,TRIM($K$15:$K$17),$N$15:$N$17)</f>
        <v>6504000</v>
      </c>
      <c r="H10" s="7">
        <f t="shared" ref="H10:H11" si="1">F10-$D$5</f>
        <v>6374000.0000000009</v>
      </c>
      <c r="I10" s="7" cm="1">
        <f t="array" ref="I10">_xlfn.XLOOKUP(A10,TRIM($K$15:$K$17),$O$15:$O$17)</f>
        <v>6374000</v>
      </c>
      <c r="K10" t="s">
        <v>61</v>
      </c>
      <c r="L10" s="25">
        <v>1040.8900000000001</v>
      </c>
      <c r="M10">
        <v>27.67</v>
      </c>
    </row>
    <row r="11" spans="1:15" x14ac:dyDescent="0.2">
      <c r="A11" s="4" t="s">
        <v>61</v>
      </c>
      <c r="B11" s="22">
        <f t="shared" si="0"/>
        <v>27670000</v>
      </c>
      <c r="C11" s="22" cm="1">
        <f t="array" ref="C11">_xlfn.XLOOKUP(A11,_xlfn.ANCHORARRAY($K$21),$L$21:$L$23)</f>
        <v>27670000</v>
      </c>
      <c r="D11" s="7">
        <f>B11*$D$3</f>
        <v>553400</v>
      </c>
      <c r="E11" s="22" cm="1">
        <f t="array" ref="E11">_xlfn.XLOOKUP(A11,TRIM($K$15:$K$17),$M$15:$M$17)</f>
        <v>553400</v>
      </c>
      <c r="F11" s="11">
        <f>D11*$D$4</f>
        <v>2767000</v>
      </c>
      <c r="G11" s="11" cm="1">
        <f t="array" ref="G11">_xlfn.XLOOKUP(A11,TRIM($K$15:$K$17),$N$15:$N$17)</f>
        <v>2767000</v>
      </c>
      <c r="H11" s="7">
        <f>F11-$D$5</f>
        <v>2637000</v>
      </c>
      <c r="I11" s="7" cm="1">
        <f t="array" ref="I11">_xlfn.XLOOKUP(A11,TRIM($K$15:$K$17),$O$15:$O$17)</f>
        <v>2637000</v>
      </c>
    </row>
    <row r="13" spans="1:15" x14ac:dyDescent="0.2">
      <c r="A13" s="16" t="s">
        <v>9</v>
      </c>
      <c r="K13" s="28" t="s">
        <v>31</v>
      </c>
    </row>
    <row r="14" spans="1:15" x14ac:dyDescent="0.2">
      <c r="A14" s="14" t="s">
        <v>1</v>
      </c>
      <c r="B14" s="5" t="s">
        <v>30</v>
      </c>
      <c r="C14" s="5"/>
      <c r="D14" s="5" t="s">
        <v>4</v>
      </c>
      <c r="E14" s="5"/>
      <c r="F14" s="5" t="s">
        <v>5</v>
      </c>
      <c r="G14" s="5"/>
      <c r="H14" s="5" t="s">
        <v>6</v>
      </c>
      <c r="I14" s="5"/>
      <c r="K14" t="s">
        <v>21</v>
      </c>
      <c r="L14" t="s">
        <v>22</v>
      </c>
      <c r="M14" t="s">
        <v>23</v>
      </c>
      <c r="N14" t="s">
        <v>24</v>
      </c>
      <c r="O14" t="s">
        <v>25</v>
      </c>
    </row>
    <row r="15" spans="1:15" x14ac:dyDescent="0.2">
      <c r="A15" s="15"/>
      <c r="B15" s="5"/>
      <c r="C15" s="5"/>
      <c r="D15" s="5"/>
      <c r="E15" s="5"/>
      <c r="F15" s="5"/>
      <c r="G15" s="5"/>
      <c r="H15" s="5"/>
      <c r="I15" s="5"/>
      <c r="K15" t="s">
        <v>63</v>
      </c>
      <c r="L15">
        <v>65040000</v>
      </c>
      <c r="M15">
        <v>1300800</v>
      </c>
      <c r="N15">
        <v>6504000</v>
      </c>
      <c r="O15">
        <v>6374000</v>
      </c>
    </row>
    <row r="16" spans="1:15" x14ac:dyDescent="0.2">
      <c r="A16" s="4" t="s">
        <v>59</v>
      </c>
      <c r="B16" s="20">
        <f>B9-C9</f>
        <v>0</v>
      </c>
      <c r="C16" s="21"/>
      <c r="D16" s="20">
        <f>D9-E9</f>
        <v>0</v>
      </c>
      <c r="E16" s="21"/>
      <c r="F16" s="20">
        <f>F9-G9</f>
        <v>0</v>
      </c>
      <c r="G16" s="21"/>
      <c r="H16" s="20">
        <f>H9-I9</f>
        <v>0</v>
      </c>
      <c r="I16" s="21"/>
      <c r="K16" t="s">
        <v>64</v>
      </c>
      <c r="L16">
        <v>27670000</v>
      </c>
      <c r="M16">
        <v>553400</v>
      </c>
      <c r="N16">
        <v>2767000</v>
      </c>
      <c r="O16">
        <v>2637000</v>
      </c>
    </row>
    <row r="17" spans="1:15" x14ac:dyDescent="0.2">
      <c r="A17" s="4" t="s">
        <v>60</v>
      </c>
      <c r="B17" s="20">
        <f t="shared" ref="B17:D18" si="2">B10-C10</f>
        <v>0</v>
      </c>
      <c r="C17" s="21"/>
      <c r="D17" s="20">
        <f t="shared" si="2"/>
        <v>0</v>
      </c>
      <c r="E17" s="21"/>
      <c r="F17" s="20">
        <f t="shared" ref="F17:F18" si="3">F10-G10</f>
        <v>0</v>
      </c>
      <c r="G17" s="21"/>
      <c r="H17" s="20">
        <f>H10-I10</f>
        <v>0</v>
      </c>
      <c r="I17" s="21"/>
      <c r="K17" t="s">
        <v>65</v>
      </c>
      <c r="L17">
        <v>17200000</v>
      </c>
      <c r="M17">
        <v>344000</v>
      </c>
      <c r="N17">
        <v>1720000</v>
      </c>
      <c r="O17">
        <v>1590000</v>
      </c>
    </row>
    <row r="18" spans="1:15" x14ac:dyDescent="0.2">
      <c r="A18" s="4" t="s">
        <v>61</v>
      </c>
      <c r="B18" s="20">
        <f t="shared" si="2"/>
        <v>0</v>
      </c>
      <c r="C18" s="21"/>
      <c r="D18" s="20">
        <f t="shared" si="2"/>
        <v>0</v>
      </c>
      <c r="E18" s="21"/>
      <c r="F18" s="20">
        <f t="shared" si="3"/>
        <v>0</v>
      </c>
      <c r="G18" s="21"/>
      <c r="H18" s="20">
        <f>H11-I11</f>
        <v>0</v>
      </c>
      <c r="I18" s="21"/>
    </row>
    <row r="20" spans="1:15" x14ac:dyDescent="0.2">
      <c r="K20" s="28" t="s">
        <v>44</v>
      </c>
      <c r="L20" t="s">
        <v>22</v>
      </c>
      <c r="M20" t="s">
        <v>23</v>
      </c>
      <c r="N20" t="s">
        <v>24</v>
      </c>
      <c r="O20" t="s">
        <v>25</v>
      </c>
    </row>
    <row r="21" spans="1:15" x14ac:dyDescent="0.2">
      <c r="K21" t="str" cm="1">
        <f t="array" ref="K21:K23">TRIM(K15:K17)</f>
        <v>Toys and Colors</v>
      </c>
      <c r="L21">
        <v>65040000</v>
      </c>
      <c r="M21">
        <v>1300800</v>
      </c>
      <c r="N21">
        <v>6504000</v>
      </c>
      <c r="O21">
        <v>6374000</v>
      </c>
    </row>
    <row r="22" spans="1:15" x14ac:dyDescent="0.2">
      <c r="K22" t="str">
        <v>Alfredo Larin</v>
      </c>
      <c r="L22">
        <v>27670000</v>
      </c>
      <c r="M22">
        <v>553400</v>
      </c>
      <c r="N22">
        <v>2767000</v>
      </c>
      <c r="O22">
        <v>2637000</v>
      </c>
    </row>
    <row r="23" spans="1:15" x14ac:dyDescent="0.2">
      <c r="K23" t="str">
        <v>Ryan's World</v>
      </c>
      <c r="L23">
        <v>17200000</v>
      </c>
      <c r="M23">
        <v>344000</v>
      </c>
      <c r="N23">
        <v>1720000</v>
      </c>
      <c r="O23">
        <v>1590000</v>
      </c>
    </row>
    <row r="24" spans="1:15" x14ac:dyDescent="0.2">
      <c r="A24" s="1" t="s">
        <v>66</v>
      </c>
    </row>
    <row r="25" spans="1:15" ht="158.25" customHeight="1" x14ac:dyDescent="0.2">
      <c r="A25" s="29" t="s">
        <v>71</v>
      </c>
      <c r="B25" s="29"/>
      <c r="C25" s="29"/>
    </row>
  </sheetData>
  <mergeCells count="24">
    <mergeCell ref="A25:C25"/>
    <mergeCell ref="B17:C17"/>
    <mergeCell ref="D17:E17"/>
    <mergeCell ref="F17:G17"/>
    <mergeCell ref="H17:I17"/>
    <mergeCell ref="B18:C18"/>
    <mergeCell ref="D18:E18"/>
    <mergeCell ref="F18:G18"/>
    <mergeCell ref="H18:I18"/>
    <mergeCell ref="A14:A15"/>
    <mergeCell ref="B14:C15"/>
    <mergeCell ref="D14:E15"/>
    <mergeCell ref="F14:G15"/>
    <mergeCell ref="H14:I15"/>
    <mergeCell ref="B16:C16"/>
    <mergeCell ref="D16:E16"/>
    <mergeCell ref="F16:G16"/>
    <mergeCell ref="H16:I16"/>
    <mergeCell ref="A1:A2"/>
    <mergeCell ref="A7:A8"/>
    <mergeCell ref="B7:C7"/>
    <mergeCell ref="D7:E7"/>
    <mergeCell ref="F7:G7"/>
    <mergeCell ref="H7:I7"/>
  </mergeCells>
  <conditionalFormatting sqref="B16:I18">
    <cfRule type="cellIs" dxfId="17" priority="3" operator="notEqual">
      <formula>0</formula>
    </cfRule>
  </conditionalFormatting>
  <conditionalFormatting sqref="H9:I11">
    <cfRule type="top10" dxfId="16" priority="2" rank="1"/>
  </conditionalFormatting>
  <conditionalFormatting sqref="I9:I11">
    <cfRule type="top10" dxfId="15" priority="1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6138-7E36-4A0C-8133-38D935F33F90}">
  <dimension ref="A1:O25"/>
  <sheetViews>
    <sheetView topLeftCell="A8" zoomScale="85" zoomScaleNormal="85" workbookViewId="0">
      <selection activeCell="A25" sqref="A25:D25"/>
    </sheetView>
  </sheetViews>
  <sheetFormatPr defaultRowHeight="14.25" x14ac:dyDescent="0.2"/>
  <cols>
    <col min="1" max="1" width="36.125" customWidth="1"/>
    <col min="2" max="2" width="18" customWidth="1"/>
    <col min="3" max="3" width="21.5" customWidth="1"/>
    <col min="4" max="4" width="25" customWidth="1"/>
    <col min="5" max="5" width="17.625" customWidth="1"/>
    <col min="6" max="6" width="13.625" customWidth="1"/>
    <col min="7" max="7" width="13.375" customWidth="1"/>
    <col min="8" max="8" width="19.875" customWidth="1"/>
    <col min="9" max="9" width="11.25" customWidth="1"/>
    <col min="10" max="10" width="20.625" customWidth="1"/>
    <col min="11" max="11" width="21.625" customWidth="1"/>
    <col min="12" max="12" width="18.125" customWidth="1"/>
    <col min="13" max="13" width="19.875" customWidth="1"/>
  </cols>
  <sheetData>
    <row r="1" spans="1:15" x14ac:dyDescent="0.2">
      <c r="A1" s="8" t="s">
        <v>57</v>
      </c>
    </row>
    <row r="2" spans="1:15" x14ac:dyDescent="0.2">
      <c r="A2" s="8"/>
      <c r="C2" s="23" t="s">
        <v>11</v>
      </c>
      <c r="D2" s="24" t="s">
        <v>13</v>
      </c>
      <c r="E2" s="26"/>
      <c r="F2" s="27" t="s">
        <v>26</v>
      </c>
      <c r="G2" s="6">
        <f>1000000</f>
        <v>1000000</v>
      </c>
    </row>
    <row r="3" spans="1:15" x14ac:dyDescent="0.2">
      <c r="C3" s="10" t="s">
        <v>7</v>
      </c>
      <c r="D3" s="4">
        <v>0.02</v>
      </c>
    </row>
    <row r="4" spans="1:15" x14ac:dyDescent="0.2">
      <c r="C4" s="10" t="s">
        <v>8</v>
      </c>
      <c r="D4" s="4">
        <v>5</v>
      </c>
    </row>
    <row r="5" spans="1:15" x14ac:dyDescent="0.2">
      <c r="C5" s="10" t="s">
        <v>10</v>
      </c>
      <c r="D5" s="7">
        <v>130000</v>
      </c>
      <c r="E5" t="s">
        <v>12</v>
      </c>
    </row>
    <row r="6" spans="1:15" x14ac:dyDescent="0.2">
      <c r="A6" s="9" t="s">
        <v>0</v>
      </c>
      <c r="K6" s="28" t="s">
        <v>29</v>
      </c>
    </row>
    <row r="7" spans="1:15" x14ac:dyDescent="0.2">
      <c r="A7" s="14" t="s">
        <v>1</v>
      </c>
      <c r="B7" s="12" t="s">
        <v>30</v>
      </c>
      <c r="C7" s="13"/>
      <c r="D7" s="12" t="s">
        <v>4</v>
      </c>
      <c r="E7" s="13"/>
      <c r="F7" s="12" t="s">
        <v>5</v>
      </c>
      <c r="G7" s="13"/>
      <c r="H7" s="12" t="s">
        <v>6</v>
      </c>
      <c r="I7" s="13"/>
      <c r="K7" t="s">
        <v>1</v>
      </c>
      <c r="L7" t="s">
        <v>27</v>
      </c>
      <c r="M7" t="s">
        <v>18</v>
      </c>
    </row>
    <row r="8" spans="1:15" x14ac:dyDescent="0.2">
      <c r="A8" s="15"/>
      <c r="B8" s="2" t="s">
        <v>2</v>
      </c>
      <c r="C8" s="3" t="s">
        <v>3</v>
      </c>
      <c r="D8" s="2" t="s">
        <v>2</v>
      </c>
      <c r="E8" s="3" t="s">
        <v>3</v>
      </c>
      <c r="F8" s="2" t="s">
        <v>2</v>
      </c>
      <c r="G8" s="3" t="s">
        <v>3</v>
      </c>
      <c r="H8" s="2" t="s">
        <v>2</v>
      </c>
      <c r="I8" s="3" t="s">
        <v>3</v>
      </c>
      <c r="K8" t="s">
        <v>19</v>
      </c>
      <c r="L8" s="25">
        <v>495346.43</v>
      </c>
      <c r="M8">
        <v>122.91</v>
      </c>
    </row>
    <row r="9" spans="1:15" x14ac:dyDescent="0.2">
      <c r="A9" s="4" t="s">
        <v>19</v>
      </c>
      <c r="B9" s="22">
        <f>M8*$G$2</f>
        <v>122910000</v>
      </c>
      <c r="C9" s="22" cm="1">
        <f t="array" ref="C9">_xlfn.XLOOKUP(A9,_xlfn.ANCHORARRAY($K$21),$L$21:$L$23)</f>
        <v>122910000</v>
      </c>
      <c r="D9" s="7">
        <f>B9*$D$3</f>
        <v>2458200</v>
      </c>
      <c r="E9" s="22" cm="1">
        <f t="array" ref="E9">_xlfn.XLOOKUP(A9,TRIM($K$15:$K$17),$M$15:$M$17)</f>
        <v>2458200</v>
      </c>
      <c r="F9" s="11">
        <f>D9*$D$4</f>
        <v>12291000</v>
      </c>
      <c r="G9" s="11" cm="1">
        <f t="array" ref="G9">_xlfn.XLOOKUP(A9,TRIM($K$15:$K$17),$N$15:$N$17)</f>
        <v>12291000</v>
      </c>
      <c r="H9" s="7">
        <f>F9-$D$5</f>
        <v>12161000</v>
      </c>
      <c r="I9" s="7" cm="1">
        <f t="array" ref="I9">_xlfn.XLOOKUP(A9,TRIM($K$15:$K$17),$O$15:$O$17)</f>
        <v>12161000</v>
      </c>
      <c r="K9" t="s">
        <v>50</v>
      </c>
      <c r="L9" s="25">
        <v>362500</v>
      </c>
      <c r="M9">
        <v>211.42</v>
      </c>
    </row>
    <row r="10" spans="1:15" x14ac:dyDescent="0.2">
      <c r="A10" s="4" t="s">
        <v>50</v>
      </c>
      <c r="B10" s="22">
        <f t="shared" ref="B10:B11" si="0">M9*$G$2</f>
        <v>211420000</v>
      </c>
      <c r="C10" s="22" cm="1">
        <f t="array" ref="C10">_xlfn.XLOOKUP(A10,_xlfn.ANCHORARRAY($K$21),$L$21:$L$23)</f>
        <v>211420000</v>
      </c>
      <c r="D10" s="7">
        <f>B10*$D$3</f>
        <v>4228400</v>
      </c>
      <c r="E10" s="22" cm="1">
        <f t="array" ref="E10">_xlfn.XLOOKUP(A10,TRIM($K$15:$K$17),$M$15:$M$17)</f>
        <v>4228400</v>
      </c>
      <c r="F10" s="11">
        <f>D10*$D$4</f>
        <v>21142000</v>
      </c>
      <c r="G10" s="11" cm="1">
        <f t="array" ref="G10">_xlfn.XLOOKUP(A10,TRIM($K$15:$K$17),$N$15:$N$17)</f>
        <v>21142000</v>
      </c>
      <c r="H10" s="7">
        <f t="shared" ref="H10:H11" si="1">F10-$D$5</f>
        <v>21012000</v>
      </c>
      <c r="I10" s="7" cm="1">
        <f t="array" ref="I10">_xlfn.XLOOKUP(A10,TRIM($K$15:$K$17),$O$15:$O$17)</f>
        <v>21012000</v>
      </c>
      <c r="K10" t="s">
        <v>55</v>
      </c>
      <c r="L10" s="25">
        <v>306878.31</v>
      </c>
      <c r="M10">
        <v>118.35</v>
      </c>
    </row>
    <row r="11" spans="1:15" x14ac:dyDescent="0.2">
      <c r="A11" s="4" t="s">
        <v>55</v>
      </c>
      <c r="B11" s="22">
        <f t="shared" si="0"/>
        <v>118350000</v>
      </c>
      <c r="C11" s="22" cm="1">
        <f t="array" ref="C11">_xlfn.XLOOKUP(A11,_xlfn.ANCHORARRAY($K$21),$L$21:$L$23)</f>
        <v>118350000</v>
      </c>
      <c r="D11" s="7">
        <f>B11*$D$3</f>
        <v>2367000</v>
      </c>
      <c r="E11" s="22" cm="1">
        <f t="array" ref="E11">_xlfn.XLOOKUP(A11,TRIM($K$15:$K$17),$M$15:$M$17)</f>
        <v>2367000</v>
      </c>
      <c r="F11" s="11">
        <f>D11*$D$4</f>
        <v>11835000</v>
      </c>
      <c r="G11" s="11" cm="1">
        <f t="array" ref="G11">_xlfn.XLOOKUP(A11,TRIM($K$15:$K$17),$N$15:$N$17)</f>
        <v>11835000</v>
      </c>
      <c r="H11" s="7">
        <f>F11-$D$5</f>
        <v>11705000</v>
      </c>
      <c r="I11" s="7" cm="1">
        <f t="array" ref="I11">_xlfn.XLOOKUP(A11,TRIM($K$15:$K$17),$O$15:$O$17)</f>
        <v>11705000</v>
      </c>
    </row>
    <row r="13" spans="1:15" x14ac:dyDescent="0.2">
      <c r="A13" s="16" t="s">
        <v>9</v>
      </c>
      <c r="K13" s="28" t="s">
        <v>31</v>
      </c>
    </row>
    <row r="14" spans="1:15" x14ac:dyDescent="0.2">
      <c r="A14" s="14" t="s">
        <v>1</v>
      </c>
      <c r="B14" s="5" t="s">
        <v>30</v>
      </c>
      <c r="C14" s="5"/>
      <c r="D14" s="5" t="s">
        <v>4</v>
      </c>
      <c r="E14" s="5"/>
      <c r="F14" s="5" t="s">
        <v>5</v>
      </c>
      <c r="G14" s="5"/>
      <c r="H14" s="5" t="s">
        <v>6</v>
      </c>
      <c r="I14" s="5"/>
      <c r="K14" t="s">
        <v>21</v>
      </c>
      <c r="L14" t="s">
        <v>22</v>
      </c>
      <c r="M14" t="s">
        <v>23</v>
      </c>
      <c r="N14" t="s">
        <v>24</v>
      </c>
      <c r="O14" t="s">
        <v>25</v>
      </c>
    </row>
    <row r="15" spans="1:15" x14ac:dyDescent="0.2">
      <c r="A15" s="15"/>
      <c r="B15" s="5"/>
      <c r="C15" s="5"/>
      <c r="D15" s="5"/>
      <c r="E15" s="5"/>
      <c r="F15" s="5"/>
      <c r="G15" s="5"/>
      <c r="H15" s="5"/>
      <c r="I15" s="5"/>
      <c r="K15" t="s">
        <v>53</v>
      </c>
      <c r="L15">
        <v>211420000</v>
      </c>
      <c r="M15">
        <v>4228400</v>
      </c>
      <c r="N15">
        <v>21142000</v>
      </c>
      <c r="O15">
        <v>21012000</v>
      </c>
    </row>
    <row r="16" spans="1:15" x14ac:dyDescent="0.2">
      <c r="A16" s="4" t="s">
        <v>19</v>
      </c>
      <c r="B16" s="20">
        <f>B9-C9</f>
        <v>0</v>
      </c>
      <c r="C16" s="21"/>
      <c r="D16" s="20">
        <f>D9-E9</f>
        <v>0</v>
      </c>
      <c r="E16" s="21"/>
      <c r="F16" s="20">
        <f>F9-G9</f>
        <v>0</v>
      </c>
      <c r="G16" s="21"/>
      <c r="H16" s="20">
        <f>H9-I9</f>
        <v>0</v>
      </c>
      <c r="I16" s="21"/>
      <c r="K16" t="s">
        <v>20</v>
      </c>
      <c r="L16">
        <v>122910000</v>
      </c>
      <c r="M16">
        <v>2458200</v>
      </c>
      <c r="N16">
        <v>12291000</v>
      </c>
      <c r="O16">
        <v>12161000</v>
      </c>
    </row>
    <row r="17" spans="1:15" x14ac:dyDescent="0.2">
      <c r="A17" s="4" t="s">
        <v>50</v>
      </c>
      <c r="B17" s="20">
        <f t="shared" ref="B17:D18" si="2">B10-C10</f>
        <v>0</v>
      </c>
      <c r="C17" s="21"/>
      <c r="D17" s="20">
        <f t="shared" si="2"/>
        <v>0</v>
      </c>
      <c r="E17" s="21"/>
      <c r="F17" s="20">
        <f t="shared" ref="F17:F18" si="3">F10-G10</f>
        <v>0</v>
      </c>
      <c r="G17" s="21"/>
      <c r="H17" s="20">
        <f>H10-I10</f>
        <v>0</v>
      </c>
      <c r="I17" s="21"/>
      <c r="K17" t="s">
        <v>58</v>
      </c>
      <c r="L17">
        <v>118350000</v>
      </c>
      <c r="M17">
        <v>2367000</v>
      </c>
      <c r="N17">
        <v>11835000</v>
      </c>
      <c r="O17">
        <v>11705000</v>
      </c>
    </row>
    <row r="18" spans="1:15" x14ac:dyDescent="0.2">
      <c r="A18" s="4" t="s">
        <v>55</v>
      </c>
      <c r="B18" s="20">
        <f t="shared" si="2"/>
        <v>0</v>
      </c>
      <c r="C18" s="21"/>
      <c r="D18" s="20">
        <f t="shared" si="2"/>
        <v>0</v>
      </c>
      <c r="E18" s="21"/>
      <c r="F18" s="20">
        <f t="shared" si="3"/>
        <v>0</v>
      </c>
      <c r="G18" s="21"/>
      <c r="H18" s="20">
        <f>H11-I11</f>
        <v>0</v>
      </c>
      <c r="I18" s="21"/>
    </row>
    <row r="20" spans="1:15" x14ac:dyDescent="0.2">
      <c r="K20" s="28" t="s">
        <v>44</v>
      </c>
      <c r="L20" t="s">
        <v>22</v>
      </c>
      <c r="M20" t="s">
        <v>23</v>
      </c>
      <c r="N20" t="s">
        <v>24</v>
      </c>
      <c r="O20" t="s">
        <v>25</v>
      </c>
    </row>
    <row r="21" spans="1:15" x14ac:dyDescent="0.2">
      <c r="K21" t="str" cm="1">
        <f t="array" ref="K21:K23">TRIM(K15:K17)</f>
        <v>Bruno Mars</v>
      </c>
      <c r="L21">
        <v>211420000</v>
      </c>
      <c r="M21">
        <v>4228400</v>
      </c>
      <c r="N21">
        <v>21142000</v>
      </c>
      <c r="O21">
        <v>21087000</v>
      </c>
    </row>
    <row r="22" spans="1:15" x14ac:dyDescent="0.2">
      <c r="K22" t="str">
        <v>MrBeast</v>
      </c>
      <c r="L22">
        <v>122910000</v>
      </c>
      <c r="M22">
        <v>2458200</v>
      </c>
      <c r="N22">
        <v>12291000</v>
      </c>
      <c r="O22">
        <v>12236000</v>
      </c>
    </row>
    <row r="23" spans="1:15" x14ac:dyDescent="0.2">
      <c r="K23" t="str">
        <v>Billie Eilish</v>
      </c>
      <c r="L23">
        <v>118350000</v>
      </c>
      <c r="M23">
        <v>2367000</v>
      </c>
      <c r="N23">
        <v>11835000</v>
      </c>
      <c r="O23">
        <v>11780000</v>
      </c>
    </row>
    <row r="24" spans="1:15" x14ac:dyDescent="0.2">
      <c r="A24" s="1" t="s">
        <v>66</v>
      </c>
    </row>
    <row r="25" spans="1:15" ht="118.5" customHeight="1" x14ac:dyDescent="0.2">
      <c r="A25" s="29" t="s">
        <v>73</v>
      </c>
      <c r="B25" s="29"/>
      <c r="C25" s="29"/>
      <c r="D25" s="29"/>
    </row>
  </sheetData>
  <mergeCells count="24">
    <mergeCell ref="A25:D25"/>
    <mergeCell ref="B17:C17"/>
    <mergeCell ref="D17:E17"/>
    <mergeCell ref="F17:G17"/>
    <mergeCell ref="H17:I17"/>
    <mergeCell ref="B18:C18"/>
    <mergeCell ref="D18:E18"/>
    <mergeCell ref="F18:G18"/>
    <mergeCell ref="H18:I18"/>
    <mergeCell ref="A14:A15"/>
    <mergeCell ref="B14:C15"/>
    <mergeCell ref="D14:E15"/>
    <mergeCell ref="F14:G15"/>
    <mergeCell ref="H14:I15"/>
    <mergeCell ref="B16:C16"/>
    <mergeCell ref="D16:E16"/>
    <mergeCell ref="F16:G16"/>
    <mergeCell ref="H16:I16"/>
    <mergeCell ref="A1:A2"/>
    <mergeCell ref="A7:A8"/>
    <mergeCell ref="B7:C7"/>
    <mergeCell ref="D7:E7"/>
    <mergeCell ref="F7:G7"/>
    <mergeCell ref="H7:I7"/>
  </mergeCells>
  <conditionalFormatting sqref="B16:I18">
    <cfRule type="cellIs" dxfId="14" priority="2" operator="notEqual">
      <formula>0</formula>
    </cfRule>
  </conditionalFormatting>
  <conditionalFormatting sqref="H9:I11">
    <cfRule type="top10" dxfId="13" priority="1" rank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C16E-5648-49B3-8BDF-BD1BDCB43D01}">
  <dimension ref="A19:K53"/>
  <sheetViews>
    <sheetView topLeftCell="A28" zoomScale="70" zoomScaleNormal="70" workbookViewId="0">
      <selection activeCell="L33" sqref="L33"/>
    </sheetView>
  </sheetViews>
  <sheetFormatPr defaultRowHeight="14.25" x14ac:dyDescent="0.2"/>
  <cols>
    <col min="1" max="1" width="21.125" customWidth="1"/>
    <col min="2" max="2" width="20.125" customWidth="1"/>
    <col min="3" max="3" width="17.875" customWidth="1"/>
    <col min="4" max="4" width="15.125" customWidth="1"/>
    <col min="5" max="5" width="15.75" customWidth="1"/>
    <col min="6" max="6" width="24.25" customWidth="1"/>
    <col min="7" max="7" width="20.625" customWidth="1"/>
    <col min="11" max="11" width="14.375" customWidth="1"/>
    <col min="12" max="12" width="19.5" customWidth="1"/>
  </cols>
  <sheetData>
    <row r="19" spans="1:11" x14ac:dyDescent="0.2">
      <c r="A19" s="24" t="s">
        <v>14</v>
      </c>
      <c r="I19" t="s">
        <v>6</v>
      </c>
    </row>
    <row r="20" spans="1:11" x14ac:dyDescent="0.2">
      <c r="A20" t="s">
        <v>1</v>
      </c>
      <c r="B20" s="19" t="s">
        <v>15</v>
      </c>
      <c r="C20" t="s">
        <v>16</v>
      </c>
      <c r="D20" t="s">
        <v>17</v>
      </c>
      <c r="E20" t="s">
        <v>18</v>
      </c>
      <c r="F20" t="s">
        <v>27</v>
      </c>
      <c r="G20" t="s">
        <v>28</v>
      </c>
      <c r="I20" t="s">
        <v>2</v>
      </c>
      <c r="J20" t="s">
        <v>3</v>
      </c>
    </row>
    <row r="21" spans="1:11" x14ac:dyDescent="0.2">
      <c r="A21" t="s">
        <v>19</v>
      </c>
      <c r="B21">
        <v>479</v>
      </c>
      <c r="C21">
        <v>967</v>
      </c>
      <c r="D21">
        <v>118.85</v>
      </c>
      <c r="E21">
        <v>122.91</v>
      </c>
      <c r="F21" s="25">
        <v>495346.43</v>
      </c>
      <c r="G21">
        <v>248.13</v>
      </c>
      <c r="I21">
        <v>12241000</v>
      </c>
      <c r="J21">
        <v>12241000</v>
      </c>
      <c r="K21" t="s">
        <v>19</v>
      </c>
    </row>
    <row r="22" spans="1:11" x14ac:dyDescent="0.2">
      <c r="A22" t="s">
        <v>36</v>
      </c>
      <c r="B22">
        <v>149</v>
      </c>
      <c r="C22">
        <v>1013</v>
      </c>
      <c r="D22">
        <v>120.59</v>
      </c>
      <c r="E22">
        <v>119.04</v>
      </c>
      <c r="F22" s="25">
        <v>147087.85999999999</v>
      </c>
      <c r="G22">
        <v>809.3</v>
      </c>
      <c r="I22">
        <v>11854000</v>
      </c>
      <c r="J22">
        <v>11854000</v>
      </c>
    </row>
    <row r="23" spans="1:11" x14ac:dyDescent="0.2">
      <c r="A23" t="s">
        <v>37</v>
      </c>
      <c r="B23">
        <v>138</v>
      </c>
      <c r="C23">
        <v>1609</v>
      </c>
      <c r="D23">
        <v>123.9</v>
      </c>
      <c r="E23">
        <v>77</v>
      </c>
      <c r="F23" s="25">
        <v>85767.56</v>
      </c>
      <c r="G23">
        <v>897.81</v>
      </c>
      <c r="I23">
        <v>7650000</v>
      </c>
      <c r="J23">
        <v>7650000</v>
      </c>
    </row>
    <row r="25" spans="1:11" x14ac:dyDescent="0.2">
      <c r="A25" s="24" t="s">
        <v>46</v>
      </c>
      <c r="I25" t="s">
        <v>6</v>
      </c>
    </row>
    <row r="26" spans="1:11" x14ac:dyDescent="0.2">
      <c r="A26" t="s">
        <v>1</v>
      </c>
      <c r="B26" t="s">
        <v>15</v>
      </c>
      <c r="C26" s="19" t="s">
        <v>16</v>
      </c>
      <c r="D26" t="s">
        <v>17</v>
      </c>
      <c r="E26" t="s">
        <v>18</v>
      </c>
      <c r="F26" t="s">
        <v>27</v>
      </c>
      <c r="G26" t="s">
        <v>28</v>
      </c>
      <c r="I26" t="s">
        <v>2</v>
      </c>
      <c r="J26" t="s">
        <v>3</v>
      </c>
    </row>
    <row r="27" spans="1:11" x14ac:dyDescent="0.2">
      <c r="A27" t="s">
        <v>32</v>
      </c>
      <c r="B27">
        <v>34.700000000000003</v>
      </c>
      <c r="C27">
        <v>8802</v>
      </c>
      <c r="D27">
        <v>16.36</v>
      </c>
      <c r="E27">
        <v>1.86</v>
      </c>
      <c r="F27" s="25">
        <v>3942.29</v>
      </c>
      <c r="G27" s="25">
        <v>471.58</v>
      </c>
      <c r="I27">
        <v>131000</v>
      </c>
      <c r="J27">
        <v>131000</v>
      </c>
    </row>
    <row r="28" spans="1:11" x14ac:dyDescent="0.2">
      <c r="A28" t="s">
        <v>38</v>
      </c>
      <c r="B28">
        <v>53.1</v>
      </c>
      <c r="C28">
        <v>6491</v>
      </c>
      <c r="D28">
        <v>28.46</v>
      </c>
      <c r="E28">
        <v>4.38</v>
      </c>
      <c r="F28" s="25">
        <v>8180.56</v>
      </c>
      <c r="G28">
        <v>535.96</v>
      </c>
      <c r="I28">
        <v>383000</v>
      </c>
      <c r="J28">
        <v>383000</v>
      </c>
      <c r="K28" t="s">
        <v>38</v>
      </c>
    </row>
    <row r="29" spans="1:11" x14ac:dyDescent="0.2">
      <c r="A29" t="s">
        <v>33</v>
      </c>
      <c r="B29">
        <v>47.8</v>
      </c>
      <c r="C29">
        <v>6274</v>
      </c>
      <c r="D29">
        <v>19.45</v>
      </c>
      <c r="E29">
        <v>3.1</v>
      </c>
      <c r="F29" s="25">
        <v>7618.74</v>
      </c>
      <c r="G29">
        <v>407</v>
      </c>
      <c r="I29">
        <v>255000</v>
      </c>
      <c r="J29">
        <v>255000</v>
      </c>
    </row>
    <row r="30" spans="1:11" x14ac:dyDescent="0.2">
      <c r="F30" s="25"/>
    </row>
    <row r="31" spans="1:11" x14ac:dyDescent="0.2">
      <c r="A31" s="24" t="s">
        <v>13</v>
      </c>
      <c r="F31" s="25"/>
      <c r="I31" t="s">
        <v>6</v>
      </c>
    </row>
    <row r="32" spans="1:11" x14ac:dyDescent="0.2">
      <c r="A32" t="s">
        <v>1</v>
      </c>
      <c r="B32" t="s">
        <v>15</v>
      </c>
      <c r="C32" t="s">
        <v>16</v>
      </c>
      <c r="D32" s="19" t="s">
        <v>17</v>
      </c>
      <c r="E32" t="s">
        <v>18</v>
      </c>
      <c r="F32" s="25" t="s">
        <v>27</v>
      </c>
      <c r="G32" t="s">
        <v>28</v>
      </c>
      <c r="I32" t="s">
        <v>2</v>
      </c>
      <c r="J32" t="s">
        <v>3</v>
      </c>
    </row>
    <row r="33" spans="1:11" x14ac:dyDescent="0.2">
      <c r="A33" t="s">
        <v>37</v>
      </c>
      <c r="B33">
        <v>138</v>
      </c>
      <c r="C33">
        <v>1609</v>
      </c>
      <c r="D33">
        <v>123.9</v>
      </c>
      <c r="E33">
        <v>77</v>
      </c>
      <c r="F33" s="25">
        <v>85767.56</v>
      </c>
      <c r="G33">
        <v>897.81</v>
      </c>
      <c r="I33">
        <v>7570000</v>
      </c>
      <c r="J33">
        <v>7570000</v>
      </c>
    </row>
    <row r="34" spans="1:11" x14ac:dyDescent="0.2">
      <c r="A34" t="s">
        <v>36</v>
      </c>
      <c r="B34">
        <v>149</v>
      </c>
      <c r="C34">
        <v>1013</v>
      </c>
      <c r="D34">
        <v>120.59</v>
      </c>
      <c r="E34">
        <v>119.04</v>
      </c>
      <c r="F34" s="25">
        <v>147087.85999999999</v>
      </c>
      <c r="G34">
        <v>809.3</v>
      </c>
      <c r="I34">
        <v>11774000</v>
      </c>
      <c r="J34">
        <v>11774000</v>
      </c>
      <c r="K34" t="s">
        <v>36</v>
      </c>
    </row>
    <row r="35" spans="1:11" x14ac:dyDescent="0.2">
      <c r="A35" t="s">
        <v>40</v>
      </c>
      <c r="B35">
        <v>132</v>
      </c>
      <c r="C35">
        <v>1065</v>
      </c>
      <c r="D35">
        <v>120.33</v>
      </c>
      <c r="E35">
        <v>112.99</v>
      </c>
      <c r="F35" s="25">
        <v>123943.66</v>
      </c>
      <c r="G35">
        <v>911.61</v>
      </c>
      <c r="I35">
        <v>11169000</v>
      </c>
      <c r="J35">
        <v>11169000</v>
      </c>
    </row>
    <row r="37" spans="1:11" x14ac:dyDescent="0.2">
      <c r="A37" s="24" t="s">
        <v>14</v>
      </c>
      <c r="I37" t="s">
        <v>6</v>
      </c>
    </row>
    <row r="38" spans="1:11" x14ac:dyDescent="0.2">
      <c r="A38" t="s">
        <v>1</v>
      </c>
      <c r="B38" t="s">
        <v>15</v>
      </c>
      <c r="C38" t="s">
        <v>16</v>
      </c>
      <c r="D38" t="s">
        <v>17</v>
      </c>
      <c r="E38" s="19" t="s">
        <v>18</v>
      </c>
      <c r="F38" t="s">
        <v>27</v>
      </c>
      <c r="G38" t="s">
        <v>28</v>
      </c>
      <c r="I38" t="s">
        <v>2</v>
      </c>
      <c r="J38" t="s">
        <v>3</v>
      </c>
    </row>
    <row r="39" spans="1:11" x14ac:dyDescent="0.2">
      <c r="A39" t="s">
        <v>49</v>
      </c>
      <c r="B39">
        <v>52.7</v>
      </c>
      <c r="C39">
        <v>190</v>
      </c>
      <c r="D39">
        <v>47.06</v>
      </c>
      <c r="E39">
        <v>247.68</v>
      </c>
      <c r="F39" s="25">
        <v>277368.42</v>
      </c>
      <c r="G39">
        <v>892.96</v>
      </c>
      <c r="I39">
        <v>24718000</v>
      </c>
      <c r="J39">
        <v>24718000</v>
      </c>
      <c r="K39" t="s">
        <v>49</v>
      </c>
    </row>
    <row r="40" spans="1:11" x14ac:dyDescent="0.2">
      <c r="A40" t="s">
        <v>50</v>
      </c>
      <c r="B40">
        <v>43.5</v>
      </c>
      <c r="C40">
        <v>120</v>
      </c>
      <c r="D40">
        <v>25.37</v>
      </c>
      <c r="E40">
        <v>211.42</v>
      </c>
      <c r="F40" s="25">
        <v>362500</v>
      </c>
      <c r="G40">
        <v>583.22</v>
      </c>
      <c r="I40">
        <v>21092000</v>
      </c>
      <c r="J40">
        <v>21092000</v>
      </c>
    </row>
    <row r="41" spans="1:11" x14ac:dyDescent="0.2">
      <c r="A41" t="s">
        <v>51</v>
      </c>
      <c r="B41">
        <v>46.9</v>
      </c>
      <c r="C41">
        <v>214</v>
      </c>
      <c r="D41">
        <v>29.83</v>
      </c>
      <c r="E41">
        <v>139.4</v>
      </c>
      <c r="F41" s="25">
        <v>219158.88</v>
      </c>
      <c r="G41">
        <v>636.04999999999995</v>
      </c>
      <c r="I41">
        <v>13890000</v>
      </c>
      <c r="J41">
        <v>13890000</v>
      </c>
    </row>
    <row r="43" spans="1:11" x14ac:dyDescent="0.2">
      <c r="A43" s="24" t="s">
        <v>46</v>
      </c>
      <c r="I43" t="s">
        <v>6</v>
      </c>
    </row>
    <row r="44" spans="1:11" x14ac:dyDescent="0.2">
      <c r="A44" t="s">
        <v>1</v>
      </c>
      <c r="B44" t="s">
        <v>15</v>
      </c>
      <c r="C44" t="s">
        <v>16</v>
      </c>
      <c r="D44" t="s">
        <v>17</v>
      </c>
      <c r="E44" t="s">
        <v>18</v>
      </c>
      <c r="F44" s="19" t="s">
        <v>27</v>
      </c>
      <c r="G44" t="s">
        <v>28</v>
      </c>
      <c r="I44" t="s">
        <v>2</v>
      </c>
      <c r="J44" t="s">
        <v>3</v>
      </c>
    </row>
    <row r="45" spans="1:11" x14ac:dyDescent="0.2">
      <c r="A45" t="s">
        <v>19</v>
      </c>
      <c r="B45">
        <v>479</v>
      </c>
      <c r="C45">
        <v>967</v>
      </c>
      <c r="D45">
        <v>118.85</v>
      </c>
      <c r="E45">
        <v>122.91</v>
      </c>
      <c r="F45" s="25">
        <v>495346.43</v>
      </c>
      <c r="G45">
        <v>248.13</v>
      </c>
      <c r="I45">
        <v>12236000</v>
      </c>
      <c r="J45">
        <v>12236000</v>
      </c>
    </row>
    <row r="46" spans="1:11" x14ac:dyDescent="0.2">
      <c r="A46" t="s">
        <v>50</v>
      </c>
      <c r="B46">
        <v>43.5</v>
      </c>
      <c r="C46">
        <v>120</v>
      </c>
      <c r="D46">
        <v>25.37</v>
      </c>
      <c r="E46">
        <v>211.42</v>
      </c>
      <c r="F46" s="25">
        <v>362500</v>
      </c>
      <c r="G46">
        <v>583.22</v>
      </c>
      <c r="I46">
        <v>21087000</v>
      </c>
      <c r="J46">
        <v>21087000</v>
      </c>
      <c r="K46" t="s">
        <v>50</v>
      </c>
    </row>
    <row r="47" spans="1:11" x14ac:dyDescent="0.2">
      <c r="A47" t="s">
        <v>55</v>
      </c>
      <c r="B47">
        <v>58</v>
      </c>
      <c r="C47">
        <v>189</v>
      </c>
      <c r="D47">
        <v>22.37</v>
      </c>
      <c r="E47">
        <v>118.35</v>
      </c>
      <c r="F47" s="25">
        <v>306878.31</v>
      </c>
      <c r="G47">
        <v>385.65</v>
      </c>
      <c r="I47">
        <v>11780000</v>
      </c>
      <c r="J47">
        <v>11780000</v>
      </c>
    </row>
    <row r="49" spans="1:11" x14ac:dyDescent="0.2">
      <c r="A49" s="24" t="s">
        <v>13</v>
      </c>
      <c r="I49" t="s">
        <v>6</v>
      </c>
    </row>
    <row r="50" spans="1:11" x14ac:dyDescent="0.2">
      <c r="A50" t="s">
        <v>1</v>
      </c>
      <c r="B50" t="s">
        <v>15</v>
      </c>
      <c r="C50" t="s">
        <v>16</v>
      </c>
      <c r="D50" t="s">
        <v>17</v>
      </c>
      <c r="E50" t="s">
        <v>18</v>
      </c>
      <c r="F50" t="s">
        <v>27</v>
      </c>
      <c r="G50" s="19" t="s">
        <v>28</v>
      </c>
      <c r="I50" t="s">
        <v>2</v>
      </c>
      <c r="J50" t="s">
        <v>3</v>
      </c>
    </row>
    <row r="51" spans="1:11" x14ac:dyDescent="0.2">
      <c r="A51" t="s">
        <v>59</v>
      </c>
      <c r="B51">
        <v>40.299999999999997</v>
      </c>
      <c r="C51">
        <v>3681</v>
      </c>
      <c r="D51">
        <v>63.33</v>
      </c>
      <c r="E51">
        <v>17.2</v>
      </c>
      <c r="F51" s="25">
        <v>10948.11</v>
      </c>
      <c r="G51" s="25">
        <v>1571.42</v>
      </c>
      <c r="I51">
        <v>1590000</v>
      </c>
      <c r="J51">
        <v>1590000</v>
      </c>
    </row>
    <row r="52" spans="1:11" x14ac:dyDescent="0.2">
      <c r="A52" t="s">
        <v>60</v>
      </c>
      <c r="B52">
        <v>82.4</v>
      </c>
      <c r="C52">
        <v>1813</v>
      </c>
      <c r="D52">
        <v>117.91</v>
      </c>
      <c r="E52">
        <v>65.040000000000006</v>
      </c>
      <c r="F52" s="25">
        <v>45449.53</v>
      </c>
      <c r="G52" s="25">
        <v>1430.95</v>
      </c>
      <c r="I52">
        <v>6374000.0000000009</v>
      </c>
      <c r="J52">
        <v>6374000</v>
      </c>
      <c r="K52" t="s">
        <v>60</v>
      </c>
    </row>
    <row r="53" spans="1:11" x14ac:dyDescent="0.2">
      <c r="A53" t="s">
        <v>61</v>
      </c>
      <c r="B53">
        <v>58.5</v>
      </c>
      <c r="C53">
        <v>2201</v>
      </c>
      <c r="D53">
        <v>60.89</v>
      </c>
      <c r="E53">
        <v>27.67</v>
      </c>
      <c r="F53" s="25">
        <v>26578.83</v>
      </c>
      <c r="G53" s="25">
        <v>1040.8900000000001</v>
      </c>
      <c r="I53">
        <v>2637000</v>
      </c>
      <c r="J53">
        <v>2637000</v>
      </c>
    </row>
  </sheetData>
  <conditionalFormatting sqref="B21:B53">
    <cfRule type="top10" dxfId="12" priority="31" rank="1"/>
  </conditionalFormatting>
  <conditionalFormatting sqref="C21:C53">
    <cfRule type="top10" dxfId="11" priority="30" rank="1"/>
  </conditionalFormatting>
  <conditionalFormatting sqref="D21:D53">
    <cfRule type="top10" dxfId="10" priority="29" rank="1"/>
  </conditionalFormatting>
  <conditionalFormatting sqref="E21:E53">
    <cfRule type="top10" dxfId="9" priority="28" rank="1"/>
  </conditionalFormatting>
  <conditionalFormatting sqref="F21:F53">
    <cfRule type="top10" dxfId="8" priority="27" rank="1"/>
  </conditionalFormatting>
  <conditionalFormatting sqref="G21:G53">
    <cfRule type="top10" dxfId="7" priority="26" rank="1"/>
  </conditionalFormatting>
  <conditionalFormatting sqref="I21:J23">
    <cfRule type="top10" dxfId="6" priority="7" rank="1"/>
  </conditionalFormatting>
  <conditionalFormatting sqref="I27:J29">
    <cfRule type="top10" dxfId="5" priority="6" rank="1"/>
  </conditionalFormatting>
  <conditionalFormatting sqref="I33:J35">
    <cfRule type="top10" dxfId="4" priority="5" rank="1"/>
  </conditionalFormatting>
  <conditionalFormatting sqref="I39:J41">
    <cfRule type="top10" dxfId="3" priority="4" rank="1"/>
  </conditionalFormatting>
  <conditionalFormatting sqref="I45:J47">
    <cfRule type="top10" dxfId="2" priority="3" rank="1"/>
  </conditionalFormatting>
  <conditionalFormatting sqref="I51:J53">
    <cfRule type="top10" dxfId="1" priority="2" rank="1"/>
  </conditionalFormatting>
  <conditionalFormatting sqref="J51:J53">
    <cfRule type="top10" dxfId="0" priority="1" rank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9A8332356E304793497BBC6982E2EA" ma:contentTypeVersion="9" ma:contentTypeDescription="Create a new document." ma:contentTypeScope="" ma:versionID="bdefda8ae1515ca46ac08286dd7f76c2">
  <xsd:schema xmlns:xsd="http://www.w3.org/2001/XMLSchema" xmlns:xs="http://www.w3.org/2001/XMLSchema" xmlns:p="http://schemas.microsoft.com/office/2006/metadata/properties" xmlns:ns3="5f57a6f6-9a89-4746-97fb-1b0e2ec9618d" xmlns:ns4="6e8d88bf-11ac-458b-86c1-bcd44f8a4dcf" targetNamespace="http://schemas.microsoft.com/office/2006/metadata/properties" ma:root="true" ma:fieldsID="0914100095ce863cd5de88d7f6fb14e7" ns3:_="" ns4:_="">
    <xsd:import namespace="5f57a6f6-9a89-4746-97fb-1b0e2ec9618d"/>
    <xsd:import namespace="6e8d88bf-11ac-458b-86c1-bcd44f8a4d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57a6f6-9a89-4746-97fb-1b0e2ec96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88bf-11ac-458b-86c1-bcd44f8a4dc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57a6f6-9a89-4746-97fb-1b0e2ec9618d" xsi:nil="true"/>
  </documentManagement>
</p:properties>
</file>

<file path=customXml/itemProps1.xml><?xml version="1.0" encoding="utf-8"?>
<ds:datastoreItem xmlns:ds="http://schemas.openxmlformats.org/officeDocument/2006/customXml" ds:itemID="{2F585114-4D63-44EC-AB5A-F106237277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57a6f6-9a89-4746-97fb-1b0e2ec9618d"/>
    <ds:schemaRef ds:uri="6e8d88bf-11ac-458b-86c1-bcd44f8a4d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2E8CEC-893C-4F3E-9C72-E0DDF54250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A81031-15E6-4E8D-8822-30167A16E2A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6e8d88bf-11ac-458b-86c1-bcd44f8a4dcf"/>
    <ds:schemaRef ds:uri="5f57a6f6-9a89-4746-97fb-1b0e2ec9618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subs analysis </vt:lpstr>
      <vt:lpstr>total vids analysis </vt:lpstr>
      <vt:lpstr>total views analysis </vt:lpstr>
      <vt:lpstr>avg views per video analysis</vt:lpstr>
      <vt:lpstr>avg views per sub analysis</vt:lpstr>
      <vt:lpstr>avg subs per video analysis</vt:lpstr>
      <vt:lpstr>sumarry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Kornpol KRAIRAT</dc:creator>
  <cp:lastModifiedBy>Kornpol KRAIRAT</cp:lastModifiedBy>
  <dcterms:created xsi:type="dcterms:W3CDTF">2026-04-12T11:14:42Z</dcterms:created>
  <dcterms:modified xsi:type="dcterms:W3CDTF">2026-05-06T03:52:57Z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0x010100479A8332356E304793497BBC6982E2EA</vt:lpwstr>
  </property>
</Properties>
</file>